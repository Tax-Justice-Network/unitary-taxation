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xjustice-my.sharepoint.com/personal/mario_taxjustice_net1/Documents/Hexagons Tile Map/5_SOTJ_Voting/"/>
    </mc:Choice>
  </mc:AlternateContent>
  <xr:revisionPtr revIDLastSave="104" documentId="8_{2DB64EA4-A458-A84D-9F39-B6606FCFF1C9}" xr6:coauthVersionLast="47" xr6:coauthVersionMax="47" xr10:uidLastSave="{75CDE683-1370-4749-96C2-AF3F4723F4AD}"/>
  <bookViews>
    <workbookView xWindow="0" yWindow="740" windowWidth="30240" windowHeight="18900" xr2:uid="{CFC34499-80A0-9F41-85A0-DAEADBE0D13B}"/>
  </bookViews>
  <sheets>
    <sheet name="Masterfile" sheetId="1" r:id="rId1"/>
    <sheet name="Summary Statist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5" i="2" s="1"/>
</calcChain>
</file>

<file path=xl/sharedStrings.xml><?xml version="1.0" encoding="utf-8"?>
<sst xmlns="http://schemas.openxmlformats.org/spreadsheetml/2006/main" count="435" uniqueCount="276">
  <si>
    <t>iso3</t>
  </si>
  <si>
    <t>population</t>
  </si>
  <si>
    <t>ABW</t>
  </si>
  <si>
    <t>AFG</t>
  </si>
  <si>
    <t>AGO</t>
  </si>
  <si>
    <t>AIA</t>
  </si>
  <si>
    <t>ALA</t>
  </si>
  <si>
    <t>ALB</t>
  </si>
  <si>
    <t>AND</t>
  </si>
  <si>
    <t>ANT</t>
  </si>
  <si>
    <t>ARE</t>
  </si>
  <si>
    <t>ARG</t>
  </si>
  <si>
    <t>ARM</t>
  </si>
  <si>
    <t>ASM</t>
  </si>
  <si>
    <t>ATF</t>
  </si>
  <si>
    <t>ATG</t>
  </si>
  <si>
    <t>AUS</t>
  </si>
  <si>
    <t>AUT</t>
  </si>
  <si>
    <t>AZE</t>
  </si>
  <si>
    <t>BDI</t>
  </si>
  <si>
    <t>BEL</t>
  </si>
  <si>
    <t>BEN</t>
  </si>
  <si>
    <t>BES</t>
  </si>
  <si>
    <t>BFA</t>
  </si>
  <si>
    <t>BGD</t>
  </si>
  <si>
    <t>BGR</t>
  </si>
  <si>
    <t>BHR</t>
  </si>
  <si>
    <t>BHS</t>
  </si>
  <si>
    <t>BIH</t>
  </si>
  <si>
    <t>BLM</t>
  </si>
  <si>
    <t>BLR</t>
  </si>
  <si>
    <t>BLZ</t>
  </si>
  <si>
    <t>BMU</t>
  </si>
  <si>
    <t>BOL</t>
  </si>
  <si>
    <t>BRA</t>
  </si>
  <si>
    <t>BRB</t>
  </si>
  <si>
    <t>BRN</t>
  </si>
  <si>
    <t>BTN</t>
  </si>
  <si>
    <t>BVT</t>
  </si>
  <si>
    <t>BWA</t>
  </si>
  <si>
    <t>CAF</t>
  </si>
  <si>
    <t>CAN</t>
  </si>
  <si>
    <t>CCK</t>
  </si>
  <si>
    <t>CHE</t>
  </si>
  <si>
    <t>CHI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</si>
  <si>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</si>
  <si>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</si>
  <si>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</si>
  <si>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</si>
  <si>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</si>
  <si>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</si>
  <si>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</si>
  <si>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</si>
  <si>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</si>
  <si>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</si>
  <si>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</si>
  <si>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CSK</t>
  </si>
  <si>
    <t>CUB</t>
  </si>
  <si>
    <t>CUW</t>
  </si>
  <si>
    <t>CXR</t>
  </si>
  <si>
    <t>CYM</t>
  </si>
  <si>
    <t>CYP</t>
  </si>
  <si>
    <t>CZE</t>
  </si>
  <si>
    <t>DES</t>
  </si>
  <si>
    <t>DEU</t>
  </si>
  <si>
    <t>DJI</t>
  </si>
  <si>
    <t>DMA</t>
  </si>
  <si>
    <t>DNK</t>
  </si>
  <si>
    <t>DOM</t>
  </si>
  <si>
    <t>DZA</t>
  </si>
  <si>
    <t>EAZ</t>
  </si>
  <si>
    <t>ECU</t>
  </si>
  <si>
    <t>EET</t>
  </si>
  <si>
    <t>EGY</t>
  </si>
  <si>
    <t>ERI</t>
  </si>
  <si>
    <t>ESH</t>
  </si>
  <si>
    <t>ESP</t>
  </si>
  <si>
    <t>EST</t>
  </si>
  <si>
    <t>ETH</t>
  </si>
  <si>
    <t>FCZ</t>
  </si>
  <si>
    <t>FIN</t>
  </si>
  <si>
    <t>FJI</t>
  </si>
  <si>
    <t>FLK</t>
  </si>
  <si>
    <t>FRA</t>
  </si>
  <si>
    <t>FRO</t>
  </si>
  <si>
    <t>FSM</t>
  </si>
  <si>
    <t>GAB</t>
  </si>
  <si>
    <t>GBR</t>
  </si>
  <si>
    <t>GDR</t>
  </si>
  <si>
    <t>GEO</t>
  </si>
  <si>
    <t>GGY</t>
  </si>
  <si>
    <t>GHA</t>
  </si>
  <si>
    <t>GIB</t>
  </si>
  <si>
    <t>GIN</t>
  </si>
  <si>
    <t>GLP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</si>
  <si>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</si>
  <si>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</si>
  <si>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</si>
  <si>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</si>
  <si>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</si>
  <si>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</si>
  <si>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</si>
  <si>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</si>
  <si>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</si>
  <si>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</si>
  <si>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</si>
  <si>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HMD</t>
  </si>
  <si>
    <t>HND</t>
  </si>
  <si>
    <t>HRV</t>
  </si>
  <si>
    <t>HTI</t>
  </si>
  <si>
    <t>HUN</t>
  </si>
  <si>
    <t>IDC</t>
  </si>
  <si>
    <t>IDN</t>
  </si>
  <si>
    <t>IMN</t>
  </si>
  <si>
    <t>IND</t>
  </si>
  <si>
    <t>IOT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</si>
  <si>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</si>
  <si>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</si>
  <si>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</si>
  <si>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</si>
  <si>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</si>
  <si>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</si>
  <si>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</si>
  <si>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</si>
  <si>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</si>
  <si>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</si>
  <si>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</si>
  <si>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</si>
  <si>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</si>
  <si>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</si>
  <si>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</si>
  <si>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</si>
  <si>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</si>
  <si>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</si>
  <si>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</si>
  <si>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</si>
  <si>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</si>
  <si>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</si>
  <si>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</si>
  <si>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</si>
  <si>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</si>
  <si>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</si>
  <si>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</si>
  <si>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</si>
  <si>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</si>
  <si>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</si>
  <si>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</si>
  <si>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</si>
  <si>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</si>
  <si>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</si>
  <si>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</si>
  <si>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</si>
  <si>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</si>
  <si>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</si>
  <si>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</si>
  <si>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</si>
  <si>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</si>
  <si>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</si>
  <si>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</si>
  <si>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</si>
  <si>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</si>
  <si>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</si>
  <si>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</si>
  <si>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MSR</t>
  </si>
  <si>
    <t>MTQ</t>
  </si>
  <si>
    <t>MUS</t>
  </si>
  <si>
    <t>MWI</t>
  </si>
  <si>
    <t>MYS</t>
  </si>
  <si>
    <t>MYT</t>
  </si>
  <si>
    <t>NAM</t>
  </si>
  <si>
    <t>NCL</t>
  </si>
  <si>
    <t>NER</t>
  </si>
  <si>
    <t>NFK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</si>
  <si>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</si>
  <si>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</si>
  <si>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</si>
  <si>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</si>
  <si>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</si>
  <si>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</si>
  <si>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</si>
  <si>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</si>
  <si>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</si>
  <si>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</si>
  <si>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</si>
  <si>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PCN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</si>
  <si>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</si>
  <si>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</si>
  <si>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</si>
  <si>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</si>
  <si>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</si>
  <si>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</si>
  <si>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</si>
  <si>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</si>
  <si>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</si>
  <si>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</si>
  <si>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</si>
  <si>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</si>
  <si>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</si>
  <si>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</si>
  <si>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</si>
  <si>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</si>
  <si>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</si>
  <si>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SCG</t>
  </si>
  <si>
    <t>SDN</t>
  </si>
  <si>
    <t>SEN</t>
  </si>
  <si>
    <t>SGP</t>
  </si>
  <si>
    <t>SGS</t>
  </si>
  <si>
    <t>SHN</t>
  </si>
  <si>
    <t>SJM</t>
  </si>
  <si>
    <t>SLB</t>
  </si>
  <si>
    <t>SLE</t>
  </si>
  <si>
    <t>SLV</t>
  </si>
  <si>
    <t>SMR</t>
  </si>
  <si>
    <t>SOM</t>
  </si>
  <si>
    <t>SPM</t>
  </si>
  <si>
    <t>SRB</t>
  </si>
  <si>
    <t>SSD</t>
  </si>
  <si>
    <t>STP</t>
  </si>
  <si>
    <t>SUN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</si>
  <si>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</si>
  <si>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</si>
  <si>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</si>
  <si>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</si>
  <si>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</si>
  <si>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</si>
  <si>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</si>
  <si>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</si>
  <si>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</si>
  <si>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</si>
  <si>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</si>
  <si>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</si>
  <si>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TIB</t>
  </si>
  <si>
    <t>TJK</t>
  </si>
  <si>
    <t>TKL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</si>
  <si>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</si>
  <si>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</si>
  <si>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</si>
  <si>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</si>
  <si>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</si>
  <si>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</si>
  <si>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</si>
  <si>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</si>
  <si>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</si>
  <si>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</si>
  <si>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</si>
  <si>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UMI</t>
  </si>
  <si>
    <t>URY</t>
  </si>
  <si>
    <t>USA</t>
  </si>
  <si>
    <t>UZB</t>
  </si>
  <si>
    <t>VAT</t>
  </si>
  <si>
    <t>VCT</t>
  </si>
  <si>
    <t>VEN</t>
  </si>
  <si>
    <t>VGB</t>
  </si>
  <si>
    <t>VIR</t>
  </si>
  <si>
    <t>VNM</t>
  </si>
  <si>
    <t>VUT</t>
  </si>
  <si>
    <t>WLF</t>
  </si>
  <si>
    <t>WSM</t>
  </si>
  <si>
    <t>XKX</t>
  </si>
  <si>
    <t>XXK</t>
  </si>
  <si>
    <t>YEM</t>
  </si>
  <si>
    <t>YEN</t>
  </si>
  <si>
    <t>YES</t>
  </si>
  <si>
    <t>YUG</t>
  </si>
  <si>
    <t>ZAF</t>
  </si>
  <si>
    <t>ZAR</t>
  </si>
  <si>
    <t>ZMB</t>
  </si>
  <si>
    <t>ZWE</t>
  </si>
  <si>
    <t>Yes</t>
  </si>
  <si>
    <t>TOR_vote</t>
  </si>
  <si>
    <t>No</t>
  </si>
  <si>
    <t>Abstention</t>
  </si>
  <si>
    <t>TOR_vote_dummy</t>
  </si>
  <si>
    <t>World Population</t>
  </si>
  <si>
    <t>Population of Countries that voted yes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</si>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</sst>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B433-C0CB-7D41-B18C-54F5B4CEB881}">
  <dimension ref="A1:E267"/>
  <sheetViews>
    <sheetView tabSelected="1" workbookViewId="0">
      <selection activeCell="G5" sqref="G5"/>
    </sheetView>
  </sheetViews>
  <sheetFormatPr baseColWidth="10" defaultRowHeight="16" x14ac:dyDescent="0.2"/>
  <cols>
    <col min="2" max="2" width="12.6640625" style="2" bestFit="1" customWidth="1"/>
    <col min="3" max="5" width="16.6640625" style="1" customWidth="1"/>
  </cols>
  <sheetData>
    <row r="1" spans="1:4" x14ac:dyDescent="0.2">
      <c r="A1" t="s">
        <v>0</v>
      </c>
      <c r="B1" s="2" t="s">
        <v>1</v>
      </c>
      <c r="C1" s="1" t="s">
        <v>269</v>
      </c>
      <c r="D1" s="1" t="s">
        <v>272</v>
      </c>
    </row>
    <row r="2" spans="1:4" x14ac:dyDescent="0.2">
      <c r="A2" t="s">
        <v>4</v>
      </c>
      <c r="B2" s="2">
        <v>36684202</v>
      </c>
      <c r="C2" s="1" t="s">
        <v>268</v>
      </c>
      <c r="D2" s="1">
        <v>1</v>
      </c>
    </row>
    <row r="3" spans="1:4" x14ac:dyDescent="0.2">
      <c r="A3" t="s">
        <v>18</v>
      </c>
      <c r="B3" s="2">
        <v>10112555</v>
      </c>
      <c r="C3" s="1" t="s">
        <v>268</v>
      </c>
      <c r="D3" s="1">
        <v>1</v>
      </c>
    </row>
    <row r="4" spans="1:4" x14ac:dyDescent="0.2">
      <c r="A4" t="s">
        <v>19</v>
      </c>
      <c r="B4" s="2">
        <v>13238559</v>
      </c>
      <c r="C4" s="1" t="s">
        <v>268</v>
      </c>
      <c r="D4" s="1">
        <v>1</v>
      </c>
    </row>
    <row r="5" spans="1:4" x14ac:dyDescent="0.2">
      <c r="A5" t="s">
        <v>23</v>
      </c>
      <c r="B5" s="2">
        <v>23251485</v>
      </c>
      <c r="C5" s="1" t="s">
        <v>268</v>
      </c>
      <c r="D5" s="1">
        <v>1</v>
      </c>
    </row>
    <row r="6" spans="1:4" x14ac:dyDescent="0.2">
      <c r="A6" t="s">
        <v>24</v>
      </c>
      <c r="B6" s="2">
        <v>172954319</v>
      </c>
      <c r="C6" s="1" t="s">
        <v>268</v>
      </c>
      <c r="D6" s="1">
        <v>1</v>
      </c>
    </row>
    <row r="7" spans="1:4" x14ac:dyDescent="0.2">
      <c r="A7" t="s">
        <v>26</v>
      </c>
      <c r="B7" s="2">
        <v>1485509</v>
      </c>
      <c r="C7" s="1" t="s">
        <v>268</v>
      </c>
      <c r="D7" s="1">
        <v>1</v>
      </c>
    </row>
    <row r="8" spans="1:4" x14ac:dyDescent="0.2">
      <c r="A8" t="s">
        <v>27</v>
      </c>
      <c r="B8" s="2">
        <v>412623</v>
      </c>
      <c r="C8" s="1" t="s">
        <v>268</v>
      </c>
      <c r="D8" s="1">
        <v>1</v>
      </c>
    </row>
    <row r="9" spans="1:4" x14ac:dyDescent="0.2">
      <c r="A9" t="s">
        <v>30</v>
      </c>
      <c r="B9" s="2">
        <v>9178298</v>
      </c>
      <c r="C9" s="1" t="s">
        <v>268</v>
      </c>
      <c r="D9" s="1">
        <v>1</v>
      </c>
    </row>
    <row r="10" spans="1:4" x14ac:dyDescent="0.2">
      <c r="A10" t="s">
        <v>31</v>
      </c>
      <c r="B10" s="2">
        <v>410825</v>
      </c>
      <c r="C10" s="1" t="s">
        <v>268</v>
      </c>
      <c r="D10" s="1">
        <v>1</v>
      </c>
    </row>
    <row r="11" spans="1:4" x14ac:dyDescent="0.2">
      <c r="A11" t="s">
        <v>33</v>
      </c>
      <c r="B11" s="2">
        <v>12388571</v>
      </c>
      <c r="C11" s="1" t="s">
        <v>268</v>
      </c>
      <c r="D11" s="1">
        <v>1</v>
      </c>
    </row>
    <row r="12" spans="1:4" x14ac:dyDescent="0.2">
      <c r="A12" t="s">
        <v>34</v>
      </c>
      <c r="B12" s="2">
        <v>216422446</v>
      </c>
      <c r="C12" s="1" t="s">
        <v>268</v>
      </c>
      <c r="D12" s="1">
        <v>1</v>
      </c>
    </row>
    <row r="13" spans="1:4" x14ac:dyDescent="0.2">
      <c r="A13" t="s">
        <v>35</v>
      </c>
      <c r="B13" s="2">
        <v>281995</v>
      </c>
      <c r="C13" s="1" t="s">
        <v>268</v>
      </c>
      <c r="D13" s="1">
        <v>1</v>
      </c>
    </row>
    <row r="14" spans="1:4" x14ac:dyDescent="0.2">
      <c r="A14" t="s">
        <v>36</v>
      </c>
      <c r="B14" s="2">
        <v>452524</v>
      </c>
      <c r="C14" s="1" t="s">
        <v>268</v>
      </c>
      <c r="D14" s="1">
        <v>1</v>
      </c>
    </row>
    <row r="15" spans="1:4" x14ac:dyDescent="0.2">
      <c r="A15" t="s">
        <v>39</v>
      </c>
      <c r="B15" s="2">
        <v>2675352</v>
      </c>
      <c r="C15" s="1" t="s">
        <v>268</v>
      </c>
      <c r="D15" s="1">
        <v>1</v>
      </c>
    </row>
    <row r="16" spans="1:4" x14ac:dyDescent="0.2">
      <c r="A16" t="s">
        <v>40</v>
      </c>
      <c r="B16" s="2">
        <v>5742315</v>
      </c>
      <c r="C16" s="1" t="s">
        <v>268</v>
      </c>
      <c r="D16" s="1">
        <v>1</v>
      </c>
    </row>
    <row r="17" spans="1:4" x14ac:dyDescent="0.2">
      <c r="A17" t="s">
        <v>45</v>
      </c>
      <c r="B17" s="2">
        <v>19629590</v>
      </c>
      <c r="C17" s="1" t="s">
        <v>268</v>
      </c>
      <c r="D17" s="1">
        <v>1</v>
      </c>
    </row>
    <row r="18" spans="1:4" x14ac:dyDescent="0.2">
      <c r="A18" t="s">
        <v>46</v>
      </c>
      <c r="B18" s="2">
        <v>1410710000</v>
      </c>
      <c r="C18" s="1" t="s">
        <v>268</v>
      </c>
      <c r="D18" s="1">
        <v>1</v>
      </c>
    </row>
    <row r="19" spans="1:4" x14ac:dyDescent="0.2">
      <c r="A19" t="s">
        <v>47</v>
      </c>
      <c r="B19" s="2">
        <v>28873034</v>
      </c>
      <c r="C19" s="1" t="s">
        <v>268</v>
      </c>
      <c r="D19" s="1">
        <v>1</v>
      </c>
    </row>
    <row r="20" spans="1:4" x14ac:dyDescent="0.2">
      <c r="A20" t="s">
        <v>48</v>
      </c>
      <c r="B20" s="2">
        <v>28647293</v>
      </c>
      <c r="C20" s="1" t="s">
        <v>268</v>
      </c>
      <c r="D20" s="1">
        <v>1</v>
      </c>
    </row>
    <row r="21" spans="1:4" x14ac:dyDescent="0.2">
      <c r="A21" t="s">
        <v>49</v>
      </c>
      <c r="B21" s="2">
        <v>102262808</v>
      </c>
      <c r="C21" s="1" t="s">
        <v>268</v>
      </c>
      <c r="D21" s="1">
        <v>1</v>
      </c>
    </row>
    <row r="22" spans="1:4" x14ac:dyDescent="0.2">
      <c r="A22" t="s">
        <v>50</v>
      </c>
      <c r="B22" s="2">
        <v>6106869</v>
      </c>
      <c r="C22" s="1" t="s">
        <v>268</v>
      </c>
      <c r="D22" s="1">
        <v>1</v>
      </c>
    </row>
    <row r="23" spans="1:4" x14ac:dyDescent="0.2">
      <c r="A23" t="s">
        <v>52</v>
      </c>
      <c r="B23" s="2">
        <v>52085168</v>
      </c>
      <c r="C23" s="1" t="s">
        <v>268</v>
      </c>
      <c r="D23" s="1">
        <v>1</v>
      </c>
    </row>
    <row r="24" spans="1:4" x14ac:dyDescent="0.2">
      <c r="A24" t="s">
        <v>54</v>
      </c>
      <c r="B24" s="2">
        <v>598682</v>
      </c>
      <c r="C24" s="1" t="s">
        <v>268</v>
      </c>
      <c r="D24" s="1">
        <v>1</v>
      </c>
    </row>
    <row r="25" spans="1:4" x14ac:dyDescent="0.2">
      <c r="A25" t="s">
        <v>55</v>
      </c>
      <c r="B25" s="2">
        <v>5212173</v>
      </c>
      <c r="C25" s="1" t="s">
        <v>268</v>
      </c>
      <c r="D25" s="1">
        <v>1</v>
      </c>
    </row>
    <row r="26" spans="1:4" x14ac:dyDescent="0.2">
      <c r="A26" t="s">
        <v>57</v>
      </c>
      <c r="B26" s="2">
        <v>11194449</v>
      </c>
      <c r="C26" s="1" t="s">
        <v>268</v>
      </c>
      <c r="D26" s="1">
        <v>1</v>
      </c>
    </row>
    <row r="27" spans="1:4" x14ac:dyDescent="0.2">
      <c r="A27" t="s">
        <v>65</v>
      </c>
      <c r="B27" s="2">
        <v>1136455</v>
      </c>
      <c r="C27" s="1" t="s">
        <v>268</v>
      </c>
      <c r="D27" s="1">
        <v>1</v>
      </c>
    </row>
    <row r="28" spans="1:4" x14ac:dyDescent="0.2">
      <c r="A28" t="s">
        <v>69</v>
      </c>
      <c r="B28" s="2">
        <v>45606480</v>
      </c>
      <c r="C28" s="1" t="s">
        <v>268</v>
      </c>
      <c r="D28" s="1">
        <v>1</v>
      </c>
    </row>
    <row r="29" spans="1:4" x14ac:dyDescent="0.2">
      <c r="A29" t="s">
        <v>71</v>
      </c>
      <c r="B29" s="2">
        <v>18190484</v>
      </c>
      <c r="C29" s="1" t="s">
        <v>268</v>
      </c>
      <c r="D29" s="1">
        <v>1</v>
      </c>
    </row>
    <row r="30" spans="1:4" x14ac:dyDescent="0.2">
      <c r="A30" t="s">
        <v>73</v>
      </c>
      <c r="B30" s="2">
        <v>112716598</v>
      </c>
      <c r="C30" s="1" t="s">
        <v>268</v>
      </c>
      <c r="D30" s="1">
        <v>1</v>
      </c>
    </row>
    <row r="31" spans="1:4" x14ac:dyDescent="0.2">
      <c r="A31" t="s">
        <v>74</v>
      </c>
      <c r="B31" s="2">
        <v>3748901</v>
      </c>
      <c r="C31" s="1" t="s">
        <v>268</v>
      </c>
      <c r="D31" s="1">
        <v>1</v>
      </c>
    </row>
    <row r="32" spans="1:4" x14ac:dyDescent="0.2">
      <c r="A32" t="s">
        <v>78</v>
      </c>
      <c r="B32" s="2">
        <v>126527060</v>
      </c>
      <c r="C32" s="1" t="s">
        <v>268</v>
      </c>
      <c r="D32" s="1">
        <v>1</v>
      </c>
    </row>
    <row r="33" spans="1:4" x14ac:dyDescent="0.2">
      <c r="A33" t="s">
        <v>81</v>
      </c>
      <c r="B33" s="2">
        <v>936375</v>
      </c>
      <c r="C33" s="1" t="s">
        <v>268</v>
      </c>
      <c r="D33" s="1">
        <v>1</v>
      </c>
    </row>
    <row r="34" spans="1:4" x14ac:dyDescent="0.2">
      <c r="A34" t="s">
        <v>91</v>
      </c>
      <c r="B34" s="2">
        <v>34121985</v>
      </c>
      <c r="C34" s="1" t="s">
        <v>268</v>
      </c>
      <c r="D34" s="1">
        <v>1</v>
      </c>
    </row>
    <row r="35" spans="1:4" x14ac:dyDescent="0.2">
      <c r="A35" t="s">
        <v>93</v>
      </c>
      <c r="B35" s="2">
        <v>14190612</v>
      </c>
      <c r="C35" s="1" t="s">
        <v>268</v>
      </c>
      <c r="D35" s="1">
        <v>1</v>
      </c>
    </row>
    <row r="36" spans="1:4" x14ac:dyDescent="0.2">
      <c r="A36" t="s">
        <v>95</v>
      </c>
      <c r="B36" s="2">
        <v>2773168</v>
      </c>
      <c r="C36" s="1" t="s">
        <v>268</v>
      </c>
      <c r="D36" s="1">
        <v>1</v>
      </c>
    </row>
    <row r="37" spans="1:4" x14ac:dyDescent="0.2">
      <c r="A37" t="s">
        <v>96</v>
      </c>
      <c r="B37" s="2">
        <v>2150842</v>
      </c>
      <c r="C37" s="1" t="s">
        <v>268</v>
      </c>
      <c r="D37" s="1">
        <v>1</v>
      </c>
    </row>
    <row r="38" spans="1:4" x14ac:dyDescent="0.2">
      <c r="A38" t="s">
        <v>101</v>
      </c>
      <c r="B38" s="2">
        <v>17602431</v>
      </c>
      <c r="C38" s="1" t="s">
        <v>268</v>
      </c>
      <c r="D38" s="1">
        <v>1</v>
      </c>
    </row>
    <row r="39" spans="1:4" x14ac:dyDescent="0.2">
      <c r="A39" t="s">
        <v>104</v>
      </c>
      <c r="B39" s="2">
        <v>813834</v>
      </c>
      <c r="C39" s="1" t="s">
        <v>268</v>
      </c>
      <c r="D39" s="1">
        <v>1</v>
      </c>
    </row>
    <row r="40" spans="1:4" x14ac:dyDescent="0.2">
      <c r="A40" t="s">
        <v>107</v>
      </c>
      <c r="B40" s="2">
        <v>10593798</v>
      </c>
      <c r="C40" s="1" t="s">
        <v>268</v>
      </c>
      <c r="D40" s="1">
        <v>1</v>
      </c>
    </row>
    <row r="41" spans="1:4" x14ac:dyDescent="0.2">
      <c r="A41" t="s">
        <v>109</v>
      </c>
      <c r="B41" s="2">
        <v>11724763</v>
      </c>
      <c r="C41" s="1" t="s">
        <v>268</v>
      </c>
      <c r="D41" s="1">
        <v>1</v>
      </c>
    </row>
    <row r="42" spans="1:4" x14ac:dyDescent="0.2">
      <c r="A42" t="s">
        <v>112</v>
      </c>
      <c r="B42" s="2">
        <v>277534122</v>
      </c>
      <c r="C42" s="1" t="s">
        <v>268</v>
      </c>
      <c r="D42" s="1">
        <v>1</v>
      </c>
    </row>
    <row r="43" spans="1:4" x14ac:dyDescent="0.2">
      <c r="A43" t="s">
        <v>114</v>
      </c>
      <c r="B43" s="2">
        <v>1428627663</v>
      </c>
      <c r="C43" s="1" t="s">
        <v>268</v>
      </c>
      <c r="D43" s="1">
        <v>1</v>
      </c>
    </row>
    <row r="44" spans="1:4" x14ac:dyDescent="0.2">
      <c r="A44" t="s">
        <v>117</v>
      </c>
      <c r="B44" s="2">
        <v>89172767</v>
      </c>
      <c r="C44" s="1" t="s">
        <v>268</v>
      </c>
      <c r="D44" s="1">
        <v>1</v>
      </c>
    </row>
    <row r="45" spans="1:4" x14ac:dyDescent="0.2">
      <c r="A45" t="s">
        <v>118</v>
      </c>
      <c r="B45" s="2">
        <v>45504560</v>
      </c>
      <c r="C45" s="1" t="s">
        <v>268</v>
      </c>
      <c r="D45" s="1">
        <v>1</v>
      </c>
    </row>
    <row r="46" spans="1:4" x14ac:dyDescent="0.2">
      <c r="A46" t="s">
        <v>122</v>
      </c>
      <c r="B46" s="2">
        <v>2825544</v>
      </c>
      <c r="C46" s="1" t="s">
        <v>268</v>
      </c>
      <c r="D46" s="1">
        <v>1</v>
      </c>
    </row>
    <row r="47" spans="1:4" x14ac:dyDescent="0.2">
      <c r="A47" t="s">
        <v>124</v>
      </c>
      <c r="B47" s="2">
        <v>11337052</v>
      </c>
      <c r="C47" s="1" t="s">
        <v>268</v>
      </c>
      <c r="D47" s="1">
        <v>1</v>
      </c>
    </row>
    <row r="48" spans="1:4" x14ac:dyDescent="0.2">
      <c r="A48" t="s">
        <v>126</v>
      </c>
      <c r="B48" s="2">
        <v>19900177</v>
      </c>
      <c r="C48" s="1" t="s">
        <v>268</v>
      </c>
      <c r="D48" s="1">
        <v>1</v>
      </c>
    </row>
    <row r="49" spans="1:4" x14ac:dyDescent="0.2">
      <c r="A49" t="s">
        <v>127</v>
      </c>
      <c r="B49" s="2">
        <v>55100586</v>
      </c>
      <c r="C49" s="1" t="s">
        <v>268</v>
      </c>
      <c r="D49" s="1">
        <v>1</v>
      </c>
    </row>
    <row r="50" spans="1:4" x14ac:dyDescent="0.2">
      <c r="A50" t="s">
        <v>128</v>
      </c>
      <c r="B50" s="2">
        <v>7100800</v>
      </c>
      <c r="C50" s="1" t="s">
        <v>268</v>
      </c>
      <c r="D50" s="1">
        <v>1</v>
      </c>
    </row>
    <row r="51" spans="1:4" x14ac:dyDescent="0.2">
      <c r="A51" t="s">
        <v>131</v>
      </c>
      <c r="B51" s="2">
        <v>47755</v>
      </c>
      <c r="C51" s="1" t="s">
        <v>268</v>
      </c>
      <c r="D51" s="1">
        <v>1</v>
      </c>
    </row>
    <row r="52" spans="1:4" x14ac:dyDescent="0.2">
      <c r="A52" t="s">
        <v>133</v>
      </c>
      <c r="B52" s="2">
        <v>4310108</v>
      </c>
      <c r="C52" s="1" t="s">
        <v>268</v>
      </c>
      <c r="D52" s="1">
        <v>1</v>
      </c>
    </row>
    <row r="53" spans="1:4" x14ac:dyDescent="0.2">
      <c r="A53" t="s">
        <v>134</v>
      </c>
      <c r="B53" s="2">
        <v>7633779</v>
      </c>
      <c r="C53" s="1" t="s">
        <v>268</v>
      </c>
      <c r="D53" s="1">
        <v>1</v>
      </c>
    </row>
    <row r="54" spans="1:4" x14ac:dyDescent="0.2">
      <c r="A54" t="s">
        <v>135</v>
      </c>
      <c r="B54" s="2">
        <v>5353930</v>
      </c>
      <c r="C54" s="1" t="s">
        <v>268</v>
      </c>
      <c r="D54" s="1">
        <v>1</v>
      </c>
    </row>
    <row r="55" spans="1:4" x14ac:dyDescent="0.2">
      <c r="A55" t="s">
        <v>137</v>
      </c>
      <c r="B55" s="2">
        <v>6888388</v>
      </c>
      <c r="C55" s="1" t="s">
        <v>268</v>
      </c>
      <c r="D55" s="1">
        <v>1</v>
      </c>
    </row>
    <row r="56" spans="1:4" x14ac:dyDescent="0.2">
      <c r="A56" t="s">
        <v>138</v>
      </c>
      <c r="B56" s="2">
        <v>180251</v>
      </c>
      <c r="C56" s="1" t="s">
        <v>268</v>
      </c>
      <c r="D56" s="1">
        <v>1</v>
      </c>
    </row>
    <row r="57" spans="1:4" x14ac:dyDescent="0.2">
      <c r="A57" t="s">
        <v>140</v>
      </c>
      <c r="B57" s="2">
        <v>22037000</v>
      </c>
      <c r="C57" s="1" t="s">
        <v>268</v>
      </c>
      <c r="D57" s="1">
        <v>1</v>
      </c>
    </row>
    <row r="58" spans="1:4" x14ac:dyDescent="0.2">
      <c r="A58" t="s">
        <v>141</v>
      </c>
      <c r="B58" s="2">
        <v>2330318</v>
      </c>
      <c r="C58" s="1" t="s">
        <v>268</v>
      </c>
      <c r="D58" s="1">
        <v>1</v>
      </c>
    </row>
    <row r="59" spans="1:4" x14ac:dyDescent="0.2">
      <c r="A59" t="s">
        <v>145</v>
      </c>
      <c r="B59" s="2">
        <v>704149</v>
      </c>
      <c r="C59" s="1" t="s">
        <v>268</v>
      </c>
      <c r="D59" s="1">
        <v>1</v>
      </c>
    </row>
    <row r="60" spans="1:4" x14ac:dyDescent="0.2">
      <c r="A60" t="s">
        <v>147</v>
      </c>
      <c r="B60" s="2">
        <v>37840044</v>
      </c>
      <c r="C60" s="1" t="s">
        <v>268</v>
      </c>
      <c r="D60" s="1">
        <v>1</v>
      </c>
    </row>
    <row r="61" spans="1:4" x14ac:dyDescent="0.2">
      <c r="A61" t="s">
        <v>151</v>
      </c>
      <c r="B61" s="2">
        <v>521021</v>
      </c>
      <c r="C61" s="1" t="s">
        <v>268</v>
      </c>
      <c r="D61" s="1">
        <v>1</v>
      </c>
    </row>
    <row r="62" spans="1:4" x14ac:dyDescent="0.2">
      <c r="A62" t="s">
        <v>152</v>
      </c>
      <c r="B62" s="2">
        <v>128455567</v>
      </c>
      <c r="C62" s="1" t="s">
        <v>268</v>
      </c>
      <c r="D62" s="1">
        <v>1</v>
      </c>
    </row>
    <row r="63" spans="1:4" x14ac:dyDescent="0.2">
      <c r="A63" t="s">
        <v>155</v>
      </c>
      <c r="B63" s="2">
        <v>23293698</v>
      </c>
      <c r="C63" s="1" t="s">
        <v>268</v>
      </c>
      <c r="D63" s="1">
        <v>1</v>
      </c>
    </row>
    <row r="64" spans="1:4" x14ac:dyDescent="0.2">
      <c r="A64" t="s">
        <v>157</v>
      </c>
      <c r="B64" s="2">
        <v>54577997</v>
      </c>
      <c r="C64" s="1" t="s">
        <v>268</v>
      </c>
      <c r="D64" s="1">
        <v>1</v>
      </c>
    </row>
    <row r="65" spans="1:4" x14ac:dyDescent="0.2">
      <c r="A65" t="s">
        <v>159</v>
      </c>
      <c r="B65" s="2">
        <v>3447157</v>
      </c>
      <c r="C65" s="1" t="s">
        <v>268</v>
      </c>
      <c r="D65" s="1">
        <v>1</v>
      </c>
    </row>
    <row r="66" spans="1:4" x14ac:dyDescent="0.2">
      <c r="A66" t="s">
        <v>161</v>
      </c>
      <c r="B66" s="2">
        <v>33897354</v>
      </c>
      <c r="C66" s="1" t="s">
        <v>268</v>
      </c>
      <c r="D66" s="1">
        <v>1</v>
      </c>
    </row>
    <row r="67" spans="1:4" x14ac:dyDescent="0.2">
      <c r="A67" t="s">
        <v>162</v>
      </c>
      <c r="B67" s="2">
        <v>4862989</v>
      </c>
      <c r="C67" s="1" t="s">
        <v>268</v>
      </c>
      <c r="D67" s="1">
        <v>1</v>
      </c>
    </row>
    <row r="68" spans="1:4" x14ac:dyDescent="0.2">
      <c r="A68" t="s">
        <v>165</v>
      </c>
      <c r="B68" s="2">
        <v>1261041</v>
      </c>
      <c r="C68" s="1" t="s">
        <v>268</v>
      </c>
      <c r="D68" s="1">
        <v>1</v>
      </c>
    </row>
    <row r="69" spans="1:4" x14ac:dyDescent="0.2">
      <c r="A69" t="s">
        <v>167</v>
      </c>
      <c r="B69" s="2">
        <v>34308525</v>
      </c>
      <c r="C69" s="1" t="s">
        <v>268</v>
      </c>
      <c r="D69" s="1">
        <v>1</v>
      </c>
    </row>
    <row r="70" spans="1:4" x14ac:dyDescent="0.2">
      <c r="A70" t="s">
        <v>169</v>
      </c>
      <c r="B70" s="2">
        <v>2604172</v>
      </c>
      <c r="C70" s="1" t="s">
        <v>268</v>
      </c>
      <c r="D70" s="1">
        <v>1</v>
      </c>
    </row>
    <row r="71" spans="1:4" x14ac:dyDescent="0.2">
      <c r="A71" t="s">
        <v>171</v>
      </c>
      <c r="B71" s="2">
        <v>27202843</v>
      </c>
      <c r="C71" s="1" t="s">
        <v>268</v>
      </c>
      <c r="D71" s="1">
        <v>1</v>
      </c>
    </row>
    <row r="72" spans="1:4" x14ac:dyDescent="0.2">
      <c r="A72" t="s">
        <v>173</v>
      </c>
      <c r="B72" s="2">
        <v>223804632</v>
      </c>
      <c r="C72" s="1" t="s">
        <v>268</v>
      </c>
      <c r="D72" s="1">
        <v>1</v>
      </c>
    </row>
    <row r="73" spans="1:4" x14ac:dyDescent="0.2">
      <c r="A73" t="s">
        <v>174</v>
      </c>
      <c r="B73" s="2">
        <v>7046310</v>
      </c>
      <c r="C73" s="1" t="s">
        <v>268</v>
      </c>
      <c r="D73" s="1">
        <v>1</v>
      </c>
    </row>
    <row r="74" spans="1:4" x14ac:dyDescent="0.2">
      <c r="A74" t="s">
        <v>178</v>
      </c>
      <c r="B74" s="2">
        <v>30896590</v>
      </c>
      <c r="C74" s="1" t="s">
        <v>268</v>
      </c>
      <c r="D74" s="1">
        <v>1</v>
      </c>
    </row>
    <row r="75" spans="1:4" x14ac:dyDescent="0.2">
      <c r="A75" t="s">
        <v>181</v>
      </c>
      <c r="B75" s="2">
        <v>4644384</v>
      </c>
      <c r="C75" s="1" t="s">
        <v>268</v>
      </c>
      <c r="D75" s="1">
        <v>1</v>
      </c>
    </row>
    <row r="76" spans="1:4" x14ac:dyDescent="0.2">
      <c r="A76" t="s">
        <v>182</v>
      </c>
      <c r="B76" s="2">
        <v>240485658</v>
      </c>
      <c r="C76" s="1" t="s">
        <v>268</v>
      </c>
      <c r="D76" s="1">
        <v>1</v>
      </c>
    </row>
    <row r="77" spans="1:4" x14ac:dyDescent="0.2">
      <c r="A77" t="s">
        <v>183</v>
      </c>
      <c r="B77" s="2">
        <v>4468087</v>
      </c>
      <c r="C77" s="1" t="s">
        <v>268</v>
      </c>
      <c r="D77" s="1">
        <v>1</v>
      </c>
    </row>
    <row r="78" spans="1:4" x14ac:dyDescent="0.2">
      <c r="A78" t="s">
        <v>185</v>
      </c>
      <c r="B78" s="2">
        <v>34352719</v>
      </c>
      <c r="C78" s="1" t="s">
        <v>268</v>
      </c>
      <c r="D78" s="1">
        <v>1</v>
      </c>
    </row>
    <row r="79" spans="1:4" x14ac:dyDescent="0.2">
      <c r="A79" t="s">
        <v>186</v>
      </c>
      <c r="B79" s="2">
        <v>117337368</v>
      </c>
      <c r="C79" s="1" t="s">
        <v>268</v>
      </c>
      <c r="D79" s="1">
        <v>1</v>
      </c>
    </row>
    <row r="80" spans="1:4" x14ac:dyDescent="0.2">
      <c r="A80" t="s">
        <v>193</v>
      </c>
      <c r="B80" s="2">
        <v>6861524</v>
      </c>
      <c r="C80" s="1" t="s">
        <v>268</v>
      </c>
      <c r="D80" s="1">
        <v>1</v>
      </c>
    </row>
    <row r="81" spans="1:4" x14ac:dyDescent="0.2">
      <c r="A81" t="s">
        <v>196</v>
      </c>
      <c r="B81" s="2">
        <v>2716391</v>
      </c>
      <c r="C81" s="1" t="s">
        <v>268</v>
      </c>
      <c r="D81" s="1">
        <v>1</v>
      </c>
    </row>
    <row r="82" spans="1:4" x14ac:dyDescent="0.2">
      <c r="A82" t="s">
        <v>199</v>
      </c>
      <c r="B82" s="2">
        <v>143826130</v>
      </c>
      <c r="C82" s="1" t="s">
        <v>268</v>
      </c>
      <c r="D82" s="1">
        <v>1</v>
      </c>
    </row>
    <row r="83" spans="1:4" x14ac:dyDescent="0.2">
      <c r="A83" t="s">
        <v>200</v>
      </c>
      <c r="B83" s="2">
        <v>14094683</v>
      </c>
      <c r="C83" s="1" t="s">
        <v>268</v>
      </c>
      <c r="D83" s="1">
        <v>1</v>
      </c>
    </row>
    <row r="84" spans="1:4" x14ac:dyDescent="0.2">
      <c r="A84" t="s">
        <v>201</v>
      </c>
      <c r="B84" s="2">
        <v>36947025</v>
      </c>
      <c r="C84" s="1" t="s">
        <v>268</v>
      </c>
      <c r="D84" s="1">
        <v>1</v>
      </c>
    </row>
    <row r="85" spans="1:4" x14ac:dyDescent="0.2">
      <c r="A85" t="s">
        <v>203</v>
      </c>
      <c r="B85" s="2">
        <v>48109006</v>
      </c>
      <c r="C85" s="1" t="s">
        <v>268</v>
      </c>
      <c r="D85" s="1">
        <v>1</v>
      </c>
    </row>
    <row r="86" spans="1:4" x14ac:dyDescent="0.2">
      <c r="A86" t="s">
        <v>204</v>
      </c>
      <c r="B86" s="2">
        <v>17763163</v>
      </c>
      <c r="C86" s="1" t="s">
        <v>268</v>
      </c>
      <c r="D86" s="1">
        <v>1</v>
      </c>
    </row>
    <row r="87" spans="1:4" x14ac:dyDescent="0.2">
      <c r="A87" t="s">
        <v>210</v>
      </c>
      <c r="B87" s="2">
        <v>8791092</v>
      </c>
      <c r="C87" s="1" t="s">
        <v>268</v>
      </c>
      <c r="D87" s="1">
        <v>1</v>
      </c>
    </row>
    <row r="88" spans="1:4" x14ac:dyDescent="0.2">
      <c r="A88" t="s">
        <v>211</v>
      </c>
      <c r="B88" s="2">
        <v>6364943</v>
      </c>
      <c r="C88" s="1" t="s">
        <v>268</v>
      </c>
      <c r="D88" s="1">
        <v>1</v>
      </c>
    </row>
    <row r="89" spans="1:4" x14ac:dyDescent="0.2">
      <c r="A89" t="s">
        <v>213</v>
      </c>
      <c r="B89" s="2">
        <v>18143378</v>
      </c>
      <c r="C89" s="1" t="s">
        <v>268</v>
      </c>
      <c r="D89" s="1">
        <v>1</v>
      </c>
    </row>
    <row r="90" spans="1:4" x14ac:dyDescent="0.2">
      <c r="A90" t="s">
        <v>216</v>
      </c>
      <c r="B90" s="2">
        <v>11088796</v>
      </c>
      <c r="C90" s="1" t="s">
        <v>268</v>
      </c>
      <c r="D90" s="1">
        <v>1</v>
      </c>
    </row>
    <row r="91" spans="1:4" x14ac:dyDescent="0.2">
      <c r="A91" t="s">
        <v>219</v>
      </c>
      <c r="B91" s="2">
        <v>623236</v>
      </c>
      <c r="C91" s="1" t="s">
        <v>268</v>
      </c>
      <c r="D91" s="1">
        <v>1</v>
      </c>
    </row>
    <row r="92" spans="1:4" x14ac:dyDescent="0.2">
      <c r="A92" t="s">
        <v>223</v>
      </c>
      <c r="B92" s="2">
        <v>1210822</v>
      </c>
      <c r="C92" s="1" t="s">
        <v>268</v>
      </c>
      <c r="D92" s="1">
        <v>1</v>
      </c>
    </row>
    <row r="93" spans="1:4" x14ac:dyDescent="0.2">
      <c r="A93" t="s">
        <v>225</v>
      </c>
      <c r="B93" s="2">
        <v>119773</v>
      </c>
      <c r="C93" s="1" t="s">
        <v>268</v>
      </c>
      <c r="D93" s="1">
        <v>1</v>
      </c>
    </row>
    <row r="94" spans="1:4" x14ac:dyDescent="0.2">
      <c r="A94" t="s">
        <v>226</v>
      </c>
      <c r="B94" s="2">
        <v>23227014</v>
      </c>
      <c r="C94" s="1" t="s">
        <v>268</v>
      </c>
      <c r="D94" s="1">
        <v>1</v>
      </c>
    </row>
    <row r="95" spans="1:4" x14ac:dyDescent="0.2">
      <c r="A95" t="s">
        <v>228</v>
      </c>
      <c r="B95" s="2">
        <v>18278568</v>
      </c>
      <c r="C95" s="1" t="s">
        <v>268</v>
      </c>
      <c r="D95" s="1">
        <v>1</v>
      </c>
    </row>
    <row r="96" spans="1:4" x14ac:dyDescent="0.2">
      <c r="A96" t="s">
        <v>229</v>
      </c>
      <c r="B96" s="2">
        <v>9053799</v>
      </c>
      <c r="C96" s="1" t="s">
        <v>268</v>
      </c>
      <c r="D96" s="1">
        <v>1</v>
      </c>
    </row>
    <row r="97" spans="1:4" x14ac:dyDescent="0.2">
      <c r="A97" t="s">
        <v>230</v>
      </c>
      <c r="B97" s="2">
        <v>71801279</v>
      </c>
      <c r="C97" s="1" t="s">
        <v>268</v>
      </c>
      <c r="D97" s="1">
        <v>1</v>
      </c>
    </row>
    <row r="98" spans="1:4" x14ac:dyDescent="0.2">
      <c r="A98" t="s">
        <v>232</v>
      </c>
      <c r="B98" s="2">
        <v>10143543</v>
      </c>
      <c r="C98" s="1" t="s">
        <v>268</v>
      </c>
      <c r="D98" s="1">
        <v>1</v>
      </c>
    </row>
    <row r="99" spans="1:4" x14ac:dyDescent="0.2">
      <c r="A99" t="s">
        <v>234</v>
      </c>
      <c r="B99" s="2">
        <v>6516100</v>
      </c>
      <c r="C99" s="1" t="s">
        <v>268</v>
      </c>
      <c r="D99" s="1">
        <v>1</v>
      </c>
    </row>
    <row r="100" spans="1:4" x14ac:dyDescent="0.2">
      <c r="A100" t="s">
        <v>235</v>
      </c>
      <c r="B100" s="2">
        <v>1360596</v>
      </c>
      <c r="C100" s="1" t="s">
        <v>268</v>
      </c>
      <c r="D100" s="1">
        <v>1</v>
      </c>
    </row>
    <row r="101" spans="1:4" x14ac:dyDescent="0.2">
      <c r="A101" t="s">
        <v>238</v>
      </c>
      <c r="B101" s="2">
        <v>12458223</v>
      </c>
      <c r="C101" s="1" t="s">
        <v>268</v>
      </c>
      <c r="D101" s="1">
        <v>1</v>
      </c>
    </row>
    <row r="102" spans="1:4" x14ac:dyDescent="0.2">
      <c r="A102" t="s">
        <v>242</v>
      </c>
      <c r="B102" s="2">
        <v>67438106</v>
      </c>
      <c r="C102" s="1" t="s">
        <v>268</v>
      </c>
      <c r="D102" s="1">
        <v>1</v>
      </c>
    </row>
    <row r="103" spans="1:4" x14ac:dyDescent="0.2">
      <c r="A103" t="s">
        <v>243</v>
      </c>
      <c r="B103" s="2">
        <v>48582334</v>
      </c>
      <c r="C103" s="1" t="s">
        <v>268</v>
      </c>
      <c r="D103" s="1">
        <v>1</v>
      </c>
    </row>
    <row r="104" spans="1:4" x14ac:dyDescent="0.2">
      <c r="A104" t="s">
        <v>246</v>
      </c>
      <c r="B104" s="2">
        <v>3423108</v>
      </c>
      <c r="C104" s="1" t="s">
        <v>268</v>
      </c>
      <c r="D104" s="1">
        <v>1</v>
      </c>
    </row>
    <row r="105" spans="1:4" x14ac:dyDescent="0.2">
      <c r="A105" t="s">
        <v>248</v>
      </c>
      <c r="B105" s="2">
        <v>36412350</v>
      </c>
      <c r="C105" s="1" t="s">
        <v>268</v>
      </c>
      <c r="D105" s="1">
        <v>1</v>
      </c>
    </row>
    <row r="106" spans="1:4" x14ac:dyDescent="0.2">
      <c r="A106" t="s">
        <v>250</v>
      </c>
      <c r="B106" s="2">
        <v>103698</v>
      </c>
      <c r="C106" s="1" t="s">
        <v>268</v>
      </c>
      <c r="D106" s="1">
        <v>1</v>
      </c>
    </row>
    <row r="107" spans="1:4" x14ac:dyDescent="0.2">
      <c r="A107" t="s">
        <v>254</v>
      </c>
      <c r="B107" s="2">
        <v>98858950</v>
      </c>
      <c r="C107" s="1" t="s">
        <v>268</v>
      </c>
      <c r="D107" s="1">
        <v>1</v>
      </c>
    </row>
    <row r="108" spans="1:4" x14ac:dyDescent="0.2">
      <c r="A108" t="s">
        <v>260</v>
      </c>
      <c r="B108" s="2">
        <v>34449825</v>
      </c>
      <c r="C108" s="1" t="s">
        <v>268</v>
      </c>
      <c r="D108" s="1">
        <v>1</v>
      </c>
    </row>
    <row r="109" spans="1:4" x14ac:dyDescent="0.2">
      <c r="A109" t="s">
        <v>264</v>
      </c>
      <c r="B109" s="2">
        <v>60414495</v>
      </c>
      <c r="C109" s="1" t="s">
        <v>268</v>
      </c>
      <c r="D109" s="1">
        <v>1</v>
      </c>
    </row>
    <row r="110" spans="1:4" x14ac:dyDescent="0.2">
      <c r="A110" t="s">
        <v>266</v>
      </c>
      <c r="B110" s="2">
        <v>20569737</v>
      </c>
      <c r="C110" s="1" t="s">
        <v>268</v>
      </c>
      <c r="D110" s="1">
        <v>1</v>
      </c>
    </row>
    <row r="111" spans="1:4" x14ac:dyDescent="0.2">
      <c r="A111" t="s">
        <v>267</v>
      </c>
      <c r="B111" s="2">
        <v>16665409</v>
      </c>
      <c r="C111" s="1" t="s">
        <v>268</v>
      </c>
      <c r="D111" s="1">
        <v>1</v>
      </c>
    </row>
    <row r="112" spans="1:4" x14ac:dyDescent="0.2">
      <c r="A112" t="s">
        <v>16</v>
      </c>
      <c r="B112" s="2">
        <v>26638544</v>
      </c>
      <c r="C112" s="1" t="s">
        <v>270</v>
      </c>
      <c r="D112" s="1">
        <v>2</v>
      </c>
    </row>
    <row r="113" spans="1:4" x14ac:dyDescent="0.2">
      <c r="A113" t="s">
        <v>41</v>
      </c>
      <c r="B113" s="2">
        <v>40097761</v>
      </c>
      <c r="C113" s="1" t="s">
        <v>270</v>
      </c>
      <c r="D113" s="1">
        <v>2</v>
      </c>
    </row>
    <row r="114" spans="1:4" x14ac:dyDescent="0.2">
      <c r="A114" t="s">
        <v>87</v>
      </c>
      <c r="B114" s="2">
        <v>68350000</v>
      </c>
      <c r="C114" s="1" t="s">
        <v>270</v>
      </c>
      <c r="D114" s="1">
        <v>2</v>
      </c>
    </row>
    <row r="115" spans="1:4" x14ac:dyDescent="0.2">
      <c r="A115" t="s">
        <v>120</v>
      </c>
      <c r="B115" s="2">
        <v>9756700</v>
      </c>
      <c r="C115" s="1" t="s">
        <v>270</v>
      </c>
      <c r="D115" s="1">
        <v>2</v>
      </c>
    </row>
    <row r="116" spans="1:4" x14ac:dyDescent="0.2">
      <c r="A116" t="s">
        <v>125</v>
      </c>
      <c r="B116" s="2">
        <v>124516650</v>
      </c>
      <c r="C116" s="1" t="s">
        <v>270</v>
      </c>
      <c r="D116" s="1">
        <v>2</v>
      </c>
    </row>
    <row r="117" spans="1:4" x14ac:dyDescent="0.2">
      <c r="A117" t="s">
        <v>132</v>
      </c>
      <c r="B117" s="2">
        <v>51712619</v>
      </c>
      <c r="C117" s="1" t="s">
        <v>270</v>
      </c>
      <c r="D117" s="1">
        <v>2</v>
      </c>
    </row>
    <row r="118" spans="1:4" x14ac:dyDescent="0.2">
      <c r="A118" t="s">
        <v>180</v>
      </c>
      <c r="B118" s="2">
        <v>5223100</v>
      </c>
      <c r="C118" s="1" t="s">
        <v>270</v>
      </c>
      <c r="D118" s="1">
        <v>2</v>
      </c>
    </row>
    <row r="119" spans="1:4" x14ac:dyDescent="0.2">
      <c r="A119" t="s">
        <v>247</v>
      </c>
      <c r="B119" s="2">
        <v>334914895</v>
      </c>
      <c r="C119" s="1" t="s">
        <v>270</v>
      </c>
      <c r="D119" s="1">
        <v>2</v>
      </c>
    </row>
    <row r="120" spans="1:4" x14ac:dyDescent="0.2">
      <c r="A120" t="s">
        <v>7</v>
      </c>
      <c r="B120" s="2">
        <v>2745972</v>
      </c>
      <c r="C120" s="1" t="s">
        <v>271</v>
      </c>
      <c r="D120" s="1">
        <v>3</v>
      </c>
    </row>
    <row r="121" spans="1:4" x14ac:dyDescent="0.2">
      <c r="A121" t="s">
        <v>10</v>
      </c>
      <c r="B121" s="2">
        <v>9516871</v>
      </c>
      <c r="C121" s="1" t="s">
        <v>271</v>
      </c>
      <c r="D121" s="1">
        <v>3</v>
      </c>
    </row>
    <row r="122" spans="1:4" x14ac:dyDescent="0.2">
      <c r="A122" t="s">
        <v>11</v>
      </c>
      <c r="B122" s="2">
        <v>46654581</v>
      </c>
      <c r="C122" s="1" t="s">
        <v>271</v>
      </c>
      <c r="D122" s="1">
        <v>3</v>
      </c>
    </row>
    <row r="123" spans="1:4" x14ac:dyDescent="0.2">
      <c r="A123" t="s">
        <v>17</v>
      </c>
      <c r="B123" s="2">
        <v>9132383</v>
      </c>
      <c r="C123" s="1" t="s">
        <v>271</v>
      </c>
      <c r="D123" s="1">
        <v>3</v>
      </c>
    </row>
    <row r="124" spans="1:4" x14ac:dyDescent="0.2">
      <c r="A124" t="s">
        <v>20</v>
      </c>
      <c r="B124" s="2">
        <v>11822592</v>
      </c>
      <c r="C124" s="1" t="s">
        <v>271</v>
      </c>
      <c r="D124" s="1">
        <v>3</v>
      </c>
    </row>
    <row r="125" spans="1:4" x14ac:dyDescent="0.2">
      <c r="A125" t="s">
        <v>25</v>
      </c>
      <c r="B125" s="2">
        <v>6430370</v>
      </c>
      <c r="C125" s="1" t="s">
        <v>271</v>
      </c>
      <c r="D125" s="1">
        <v>3</v>
      </c>
    </row>
    <row r="126" spans="1:4" x14ac:dyDescent="0.2">
      <c r="A126" t="s">
        <v>28</v>
      </c>
      <c r="B126" s="2">
        <v>3210847</v>
      </c>
      <c r="C126" s="1" t="s">
        <v>271</v>
      </c>
      <c r="D126" s="1">
        <v>3</v>
      </c>
    </row>
    <row r="127" spans="1:4" x14ac:dyDescent="0.2">
      <c r="A127" t="s">
        <v>43</v>
      </c>
      <c r="B127" s="2">
        <v>8849852</v>
      </c>
      <c r="C127" s="1" t="s">
        <v>271</v>
      </c>
      <c r="D127" s="1">
        <v>3</v>
      </c>
    </row>
    <row r="128" spans="1:4" x14ac:dyDescent="0.2">
      <c r="A128" t="s">
        <v>61</v>
      </c>
      <c r="B128" s="2">
        <v>1260138</v>
      </c>
      <c r="C128" s="1" t="s">
        <v>271</v>
      </c>
      <c r="D128" s="1">
        <v>3</v>
      </c>
    </row>
    <row r="129" spans="1:4" x14ac:dyDescent="0.2">
      <c r="A129" t="s">
        <v>62</v>
      </c>
      <c r="B129" s="2">
        <v>10873689</v>
      </c>
      <c r="C129" s="1" t="s">
        <v>271</v>
      </c>
      <c r="D129" s="1">
        <v>3</v>
      </c>
    </row>
    <row r="130" spans="1:4" x14ac:dyDescent="0.2">
      <c r="A130" t="s">
        <v>64</v>
      </c>
      <c r="B130" s="2">
        <v>84482267</v>
      </c>
      <c r="C130" s="1" t="s">
        <v>271</v>
      </c>
      <c r="D130" s="1">
        <v>3</v>
      </c>
    </row>
    <row r="131" spans="1:4" x14ac:dyDescent="0.2">
      <c r="A131" t="s">
        <v>67</v>
      </c>
      <c r="B131" s="2">
        <v>5946952</v>
      </c>
      <c r="C131" s="1" t="s">
        <v>271</v>
      </c>
      <c r="D131" s="1">
        <v>3</v>
      </c>
    </row>
    <row r="132" spans="1:4" x14ac:dyDescent="0.2">
      <c r="A132" t="s">
        <v>76</v>
      </c>
      <c r="B132" s="2">
        <v>48373336</v>
      </c>
      <c r="C132" s="1" t="s">
        <v>271</v>
      </c>
      <c r="D132" s="1">
        <v>3</v>
      </c>
    </row>
    <row r="133" spans="1:4" x14ac:dyDescent="0.2">
      <c r="A133" t="s">
        <v>77</v>
      </c>
      <c r="B133" s="2">
        <v>1366188</v>
      </c>
      <c r="C133" s="1" t="s">
        <v>271</v>
      </c>
      <c r="D133" s="1">
        <v>3</v>
      </c>
    </row>
    <row r="134" spans="1:4" x14ac:dyDescent="0.2">
      <c r="A134" t="s">
        <v>80</v>
      </c>
      <c r="B134" s="2">
        <v>5584264</v>
      </c>
      <c r="C134" s="1" t="s">
        <v>271</v>
      </c>
      <c r="D134" s="1">
        <v>3</v>
      </c>
    </row>
    <row r="135" spans="1:4" x14ac:dyDescent="0.2">
      <c r="A135" t="s">
        <v>83</v>
      </c>
      <c r="B135" s="2">
        <v>68170228</v>
      </c>
      <c r="C135" s="1" t="s">
        <v>271</v>
      </c>
      <c r="D135" s="1">
        <v>3</v>
      </c>
    </row>
    <row r="136" spans="1:4" x14ac:dyDescent="0.2">
      <c r="A136" t="s">
        <v>89</v>
      </c>
      <c r="B136" s="2">
        <v>3760365</v>
      </c>
      <c r="C136" s="1" t="s">
        <v>271</v>
      </c>
      <c r="D136" s="1">
        <v>3</v>
      </c>
    </row>
    <row r="137" spans="1:4" x14ac:dyDescent="0.2">
      <c r="A137" t="s">
        <v>98</v>
      </c>
      <c r="B137" s="2">
        <v>10361295</v>
      </c>
      <c r="C137" s="1" t="s">
        <v>271</v>
      </c>
      <c r="D137" s="1">
        <v>3</v>
      </c>
    </row>
    <row r="138" spans="1:4" x14ac:dyDescent="0.2">
      <c r="A138" t="s">
        <v>108</v>
      </c>
      <c r="B138" s="2">
        <v>3853200</v>
      </c>
      <c r="C138" s="1" t="s">
        <v>271</v>
      </c>
      <c r="D138" s="1">
        <v>3</v>
      </c>
    </row>
    <row r="139" spans="1:4" x14ac:dyDescent="0.2">
      <c r="A139" t="s">
        <v>110</v>
      </c>
      <c r="B139" s="2">
        <v>9589872</v>
      </c>
      <c r="C139" s="1" t="s">
        <v>271</v>
      </c>
      <c r="D139" s="1">
        <v>3</v>
      </c>
    </row>
    <row r="140" spans="1:4" x14ac:dyDescent="0.2">
      <c r="A140" t="s">
        <v>116</v>
      </c>
      <c r="B140" s="2">
        <v>5262382</v>
      </c>
      <c r="C140" s="1" t="s">
        <v>271</v>
      </c>
      <c r="D140" s="1">
        <v>3</v>
      </c>
    </row>
    <row r="141" spans="1:4" x14ac:dyDescent="0.2">
      <c r="A141" t="s">
        <v>121</v>
      </c>
      <c r="B141" s="2">
        <v>58761146</v>
      </c>
      <c r="C141" s="1" t="s">
        <v>271</v>
      </c>
      <c r="D141" s="1">
        <v>3</v>
      </c>
    </row>
    <row r="142" spans="1:4" x14ac:dyDescent="0.2">
      <c r="A142" t="s">
        <v>136</v>
      </c>
      <c r="B142" s="2">
        <v>5418377</v>
      </c>
      <c r="C142" s="1" t="s">
        <v>271</v>
      </c>
      <c r="D142" s="1">
        <v>3</v>
      </c>
    </row>
    <row r="143" spans="1:4" x14ac:dyDescent="0.2">
      <c r="A143" t="s">
        <v>139</v>
      </c>
      <c r="B143" s="2">
        <v>39584</v>
      </c>
      <c r="C143" s="1" t="s">
        <v>271</v>
      </c>
      <c r="D143" s="1">
        <v>3</v>
      </c>
    </row>
    <row r="144" spans="1:4" x14ac:dyDescent="0.2">
      <c r="A144" t="s">
        <v>142</v>
      </c>
      <c r="B144" s="2">
        <v>2871897</v>
      </c>
      <c r="C144" s="1" t="s">
        <v>271</v>
      </c>
      <c r="D144" s="1">
        <v>3</v>
      </c>
    </row>
    <row r="145" spans="1:4" x14ac:dyDescent="0.2">
      <c r="A145" t="s">
        <v>143</v>
      </c>
      <c r="B145" s="2">
        <v>668606</v>
      </c>
      <c r="C145" s="1" t="s">
        <v>271</v>
      </c>
      <c r="D145" s="1">
        <v>3</v>
      </c>
    </row>
    <row r="146" spans="1:4" x14ac:dyDescent="0.2">
      <c r="A146" t="s">
        <v>144</v>
      </c>
      <c r="B146" s="2">
        <v>1881750</v>
      </c>
      <c r="C146" s="1" t="s">
        <v>271</v>
      </c>
      <c r="D146" s="1">
        <v>3</v>
      </c>
    </row>
    <row r="147" spans="1:4" x14ac:dyDescent="0.2">
      <c r="A147" t="s">
        <v>148</v>
      </c>
      <c r="B147" s="2">
        <v>36297</v>
      </c>
      <c r="C147" s="1" t="s">
        <v>271</v>
      </c>
      <c r="D147" s="1">
        <v>3</v>
      </c>
    </row>
    <row r="148" spans="1:4" x14ac:dyDescent="0.2">
      <c r="A148" t="s">
        <v>149</v>
      </c>
      <c r="B148" s="2">
        <v>2486891</v>
      </c>
      <c r="C148" s="1" t="s">
        <v>271</v>
      </c>
      <c r="D148" s="1">
        <v>3</v>
      </c>
    </row>
    <row r="149" spans="1:4" x14ac:dyDescent="0.2">
      <c r="A149" t="s">
        <v>156</v>
      </c>
      <c r="B149" s="2">
        <v>553214</v>
      </c>
      <c r="C149" s="1" t="s">
        <v>271</v>
      </c>
      <c r="D149" s="1">
        <v>3</v>
      </c>
    </row>
    <row r="150" spans="1:4" x14ac:dyDescent="0.2">
      <c r="A150" t="s">
        <v>158</v>
      </c>
      <c r="B150" s="2">
        <v>616177</v>
      </c>
      <c r="C150" s="1" t="s">
        <v>271</v>
      </c>
      <c r="D150" s="1">
        <v>3</v>
      </c>
    </row>
    <row r="151" spans="1:4" x14ac:dyDescent="0.2">
      <c r="A151" t="s">
        <v>176</v>
      </c>
      <c r="B151" s="2">
        <v>17879488</v>
      </c>
      <c r="C151" s="1" t="s">
        <v>271</v>
      </c>
      <c r="D151" s="1">
        <v>3</v>
      </c>
    </row>
    <row r="152" spans="1:4" x14ac:dyDescent="0.2">
      <c r="A152" t="s">
        <v>177</v>
      </c>
      <c r="B152" s="2">
        <v>5519594</v>
      </c>
      <c r="C152" s="1" t="s">
        <v>271</v>
      </c>
      <c r="D152" s="1">
        <v>3</v>
      </c>
    </row>
    <row r="153" spans="1:4" x14ac:dyDescent="0.2">
      <c r="A153" t="s">
        <v>189</v>
      </c>
      <c r="B153" s="2">
        <v>36685849</v>
      </c>
      <c r="C153" s="1" t="s">
        <v>271</v>
      </c>
      <c r="D153" s="1">
        <v>3</v>
      </c>
    </row>
    <row r="154" spans="1:4" x14ac:dyDescent="0.2">
      <c r="A154" t="s">
        <v>192</v>
      </c>
      <c r="B154" s="2">
        <v>10525347</v>
      </c>
      <c r="C154" s="1" t="s">
        <v>271</v>
      </c>
      <c r="D154" s="1">
        <v>3</v>
      </c>
    </row>
    <row r="155" spans="1:4" x14ac:dyDescent="0.2">
      <c r="A155" t="s">
        <v>198</v>
      </c>
      <c r="B155" s="2">
        <v>19056116</v>
      </c>
      <c r="C155" s="1" t="s">
        <v>271</v>
      </c>
      <c r="D155" s="1">
        <v>3</v>
      </c>
    </row>
    <row r="156" spans="1:4" x14ac:dyDescent="0.2">
      <c r="A156" t="s">
        <v>205</v>
      </c>
      <c r="B156" s="2">
        <v>5917648</v>
      </c>
      <c r="C156" s="1" t="s">
        <v>271</v>
      </c>
      <c r="D156" s="1">
        <v>3</v>
      </c>
    </row>
    <row r="157" spans="1:4" x14ac:dyDescent="0.2">
      <c r="A157" t="s">
        <v>212</v>
      </c>
      <c r="B157" s="2">
        <v>33642</v>
      </c>
      <c r="C157" s="1" t="s">
        <v>271</v>
      </c>
      <c r="D157" s="1">
        <v>3</v>
      </c>
    </row>
    <row r="158" spans="1:4" x14ac:dyDescent="0.2">
      <c r="A158" t="s">
        <v>220</v>
      </c>
      <c r="B158" s="2">
        <v>5426740</v>
      </c>
      <c r="C158" s="1" t="s">
        <v>271</v>
      </c>
      <c r="D158" s="1">
        <v>3</v>
      </c>
    </row>
    <row r="159" spans="1:4" x14ac:dyDescent="0.2">
      <c r="A159" t="s">
        <v>221</v>
      </c>
      <c r="B159" s="2">
        <v>2120937</v>
      </c>
      <c r="C159" s="1" t="s">
        <v>271</v>
      </c>
      <c r="D159" s="1">
        <v>3</v>
      </c>
    </row>
    <row r="160" spans="1:4" x14ac:dyDescent="0.2">
      <c r="A160" t="s">
        <v>222</v>
      </c>
      <c r="B160" s="2">
        <v>10536632</v>
      </c>
      <c r="C160" s="1" t="s">
        <v>271</v>
      </c>
      <c r="D160" s="1">
        <v>3</v>
      </c>
    </row>
    <row r="161" spans="1:4" x14ac:dyDescent="0.2">
      <c r="A161" t="s">
        <v>237</v>
      </c>
      <c r="B161" s="2">
        <v>1534937</v>
      </c>
      <c r="C161" s="1" t="s">
        <v>271</v>
      </c>
      <c r="D161" s="1">
        <v>3</v>
      </c>
    </row>
    <row r="162" spans="1:4" x14ac:dyDescent="0.2">
      <c r="A162" t="s">
        <v>239</v>
      </c>
      <c r="B162" s="2">
        <v>85326000</v>
      </c>
      <c r="C162" s="1" t="s">
        <v>271</v>
      </c>
      <c r="D162" s="1">
        <v>3</v>
      </c>
    </row>
    <row r="163" spans="1:4" x14ac:dyDescent="0.2">
      <c r="A163" t="s">
        <v>244</v>
      </c>
      <c r="B163" s="2">
        <v>37000000</v>
      </c>
      <c r="C163" s="1" t="s">
        <v>271</v>
      </c>
      <c r="D163" s="1">
        <v>3</v>
      </c>
    </row>
    <row r="164" spans="1:4" x14ac:dyDescent="0.2">
      <c r="A164" t="s">
        <v>2</v>
      </c>
      <c r="B164" s="2">
        <v>106277</v>
      </c>
      <c r="D164" s="1">
        <v>4</v>
      </c>
    </row>
    <row r="165" spans="1:4" x14ac:dyDescent="0.2">
      <c r="A165" t="s">
        <v>3</v>
      </c>
      <c r="B165" s="2">
        <v>42239854</v>
      </c>
      <c r="D165" s="1">
        <v>4</v>
      </c>
    </row>
    <row r="166" spans="1:4" x14ac:dyDescent="0.2">
      <c r="A166" t="s">
        <v>5</v>
      </c>
      <c r="D166" s="1">
        <v>4</v>
      </c>
    </row>
    <row r="167" spans="1:4" x14ac:dyDescent="0.2">
      <c r="A167" t="s">
        <v>6</v>
      </c>
      <c r="D167" s="1">
        <v>4</v>
      </c>
    </row>
    <row r="168" spans="1:4" x14ac:dyDescent="0.2">
      <c r="A168" t="s">
        <v>8</v>
      </c>
      <c r="B168" s="2">
        <v>80088</v>
      </c>
      <c r="D168" s="1">
        <v>4</v>
      </c>
    </row>
    <row r="169" spans="1:4" x14ac:dyDescent="0.2">
      <c r="A169" t="s">
        <v>9</v>
      </c>
      <c r="D169" s="1">
        <v>4</v>
      </c>
    </row>
    <row r="170" spans="1:4" x14ac:dyDescent="0.2">
      <c r="A170" t="s">
        <v>12</v>
      </c>
      <c r="B170" s="2">
        <v>2777970</v>
      </c>
      <c r="D170" s="1">
        <v>4</v>
      </c>
    </row>
    <row r="171" spans="1:4" x14ac:dyDescent="0.2">
      <c r="A171" t="s">
        <v>13</v>
      </c>
      <c r="B171" s="2">
        <v>43914</v>
      </c>
      <c r="D171" s="1">
        <v>4</v>
      </c>
    </row>
    <row r="172" spans="1:4" x14ac:dyDescent="0.2">
      <c r="A172" t="s">
        <v>14</v>
      </c>
      <c r="D172" s="1">
        <v>4</v>
      </c>
    </row>
    <row r="173" spans="1:4" x14ac:dyDescent="0.2">
      <c r="A173" t="s">
        <v>15</v>
      </c>
      <c r="B173" s="2">
        <v>94298</v>
      </c>
      <c r="D173" s="1">
        <v>4</v>
      </c>
    </row>
    <row r="174" spans="1:4" x14ac:dyDescent="0.2">
      <c r="A174" t="s">
        <v>21</v>
      </c>
      <c r="B174" s="2">
        <v>13712828</v>
      </c>
      <c r="D174" s="1">
        <v>4</v>
      </c>
    </row>
    <row r="175" spans="1:4" x14ac:dyDescent="0.2">
      <c r="A175" t="s">
        <v>22</v>
      </c>
      <c r="D175" s="1">
        <v>4</v>
      </c>
    </row>
    <row r="176" spans="1:4" x14ac:dyDescent="0.2">
      <c r="A176" t="s">
        <v>29</v>
      </c>
      <c r="D176" s="1">
        <v>4</v>
      </c>
    </row>
    <row r="177" spans="1:4" x14ac:dyDescent="0.2">
      <c r="A177" t="s">
        <v>32</v>
      </c>
      <c r="B177" s="2">
        <v>63489</v>
      </c>
      <c r="D177" s="1">
        <v>4</v>
      </c>
    </row>
    <row r="178" spans="1:4" x14ac:dyDescent="0.2">
      <c r="A178" t="s">
        <v>37</v>
      </c>
      <c r="B178" s="2">
        <v>787424</v>
      </c>
      <c r="D178" s="1">
        <v>4</v>
      </c>
    </row>
    <row r="179" spans="1:4" x14ac:dyDescent="0.2">
      <c r="A179" t="s">
        <v>38</v>
      </c>
      <c r="D179" s="1">
        <v>4</v>
      </c>
    </row>
    <row r="180" spans="1:4" x14ac:dyDescent="0.2">
      <c r="A180" t="s">
        <v>42</v>
      </c>
      <c r="D180" s="1">
        <v>4</v>
      </c>
    </row>
    <row r="181" spans="1:4" x14ac:dyDescent="0.2">
      <c r="A181" t="s">
        <v>44</v>
      </c>
      <c r="B181" s="2">
        <v>175346</v>
      </c>
      <c r="D181" s="1">
        <v>4</v>
      </c>
    </row>
    <row r="182" spans="1:4" x14ac:dyDescent="0.2">
      <c r="A182" t="s">
        <v>51</v>
      </c>
      <c r="D182" s="1">
        <v>4</v>
      </c>
    </row>
    <row r="183" spans="1:4" x14ac:dyDescent="0.2">
      <c r="A183" t="s">
        <v>53</v>
      </c>
      <c r="B183" s="2">
        <v>852075</v>
      </c>
      <c r="D183" s="1">
        <v>4</v>
      </c>
    </row>
    <row r="184" spans="1:4" x14ac:dyDescent="0.2">
      <c r="A184" t="s">
        <v>56</v>
      </c>
      <c r="D184" s="1">
        <v>4</v>
      </c>
    </row>
    <row r="185" spans="1:4" x14ac:dyDescent="0.2">
      <c r="A185" t="s">
        <v>58</v>
      </c>
      <c r="B185" s="2">
        <v>147862</v>
      </c>
      <c r="D185" s="1">
        <v>4</v>
      </c>
    </row>
    <row r="186" spans="1:4" x14ac:dyDescent="0.2">
      <c r="A186" t="s">
        <v>59</v>
      </c>
      <c r="D186" s="1">
        <v>4</v>
      </c>
    </row>
    <row r="187" spans="1:4" x14ac:dyDescent="0.2">
      <c r="A187" t="s">
        <v>60</v>
      </c>
      <c r="B187" s="2">
        <v>69310</v>
      </c>
      <c r="D187" s="1">
        <v>4</v>
      </c>
    </row>
    <row r="188" spans="1:4" x14ac:dyDescent="0.2">
      <c r="A188" t="s">
        <v>63</v>
      </c>
      <c r="D188" s="1">
        <v>4</v>
      </c>
    </row>
    <row r="189" spans="1:4" x14ac:dyDescent="0.2">
      <c r="A189" t="s">
        <v>66</v>
      </c>
      <c r="B189" s="2">
        <v>73040</v>
      </c>
      <c r="D189" s="1">
        <v>4</v>
      </c>
    </row>
    <row r="190" spans="1:4" x14ac:dyDescent="0.2">
      <c r="A190" t="s">
        <v>68</v>
      </c>
      <c r="B190" s="2">
        <v>11332972</v>
      </c>
      <c r="D190" s="1">
        <v>5</v>
      </c>
    </row>
    <row r="191" spans="1:4" x14ac:dyDescent="0.2">
      <c r="A191" t="s">
        <v>70</v>
      </c>
      <c r="D191" s="1">
        <v>5</v>
      </c>
    </row>
    <row r="192" spans="1:4" x14ac:dyDescent="0.2">
      <c r="A192" t="s">
        <v>72</v>
      </c>
      <c r="D192" s="1">
        <v>5</v>
      </c>
    </row>
    <row r="193" spans="1:4" x14ac:dyDescent="0.2">
      <c r="A193" t="s">
        <v>75</v>
      </c>
      <c r="D193" s="1">
        <v>5</v>
      </c>
    </row>
    <row r="194" spans="1:4" x14ac:dyDescent="0.2">
      <c r="A194" t="s">
        <v>79</v>
      </c>
      <c r="D194" s="1">
        <v>5</v>
      </c>
    </row>
    <row r="195" spans="1:4" x14ac:dyDescent="0.2">
      <c r="A195" t="s">
        <v>82</v>
      </c>
      <c r="D195" s="1">
        <v>5</v>
      </c>
    </row>
    <row r="196" spans="1:4" x14ac:dyDescent="0.2">
      <c r="A196" t="s">
        <v>84</v>
      </c>
      <c r="B196" s="2">
        <v>53270</v>
      </c>
      <c r="D196" s="1">
        <v>5</v>
      </c>
    </row>
    <row r="197" spans="1:4" x14ac:dyDescent="0.2">
      <c r="A197" t="s">
        <v>85</v>
      </c>
      <c r="B197" s="2">
        <v>115224</v>
      </c>
      <c r="D197" s="1">
        <v>5</v>
      </c>
    </row>
    <row r="198" spans="1:4" x14ac:dyDescent="0.2">
      <c r="A198" t="s">
        <v>86</v>
      </c>
      <c r="B198" s="2">
        <v>2436566</v>
      </c>
      <c r="D198" s="1">
        <v>5</v>
      </c>
    </row>
    <row r="199" spans="1:4" x14ac:dyDescent="0.2">
      <c r="A199" t="s">
        <v>88</v>
      </c>
      <c r="D199" s="1">
        <v>5</v>
      </c>
    </row>
    <row r="200" spans="1:4" x14ac:dyDescent="0.2">
      <c r="A200" t="s">
        <v>90</v>
      </c>
      <c r="D200" s="1">
        <v>5</v>
      </c>
    </row>
    <row r="201" spans="1:4" x14ac:dyDescent="0.2">
      <c r="A201" t="s">
        <v>92</v>
      </c>
      <c r="B201" s="2">
        <v>32688</v>
      </c>
      <c r="D201" s="1">
        <v>5</v>
      </c>
    </row>
    <row r="202" spans="1:4" x14ac:dyDescent="0.2">
      <c r="A202" t="s">
        <v>94</v>
      </c>
      <c r="D202" s="1">
        <v>5</v>
      </c>
    </row>
    <row r="203" spans="1:4" x14ac:dyDescent="0.2">
      <c r="A203" t="s">
        <v>97</v>
      </c>
      <c r="B203" s="2">
        <v>1714671</v>
      </c>
      <c r="D203" s="1">
        <v>5</v>
      </c>
    </row>
    <row r="204" spans="1:4" x14ac:dyDescent="0.2">
      <c r="A204" t="s">
        <v>99</v>
      </c>
      <c r="B204" s="2">
        <v>126183</v>
      </c>
      <c r="D204" s="1">
        <v>5</v>
      </c>
    </row>
    <row r="205" spans="1:4" x14ac:dyDescent="0.2">
      <c r="A205" t="s">
        <v>100</v>
      </c>
      <c r="B205" s="2">
        <v>56865</v>
      </c>
      <c r="D205" s="1">
        <v>5</v>
      </c>
    </row>
    <row r="206" spans="1:4" x14ac:dyDescent="0.2">
      <c r="A206" t="s">
        <v>102</v>
      </c>
      <c r="D206" s="1">
        <v>5</v>
      </c>
    </row>
    <row r="207" spans="1:4" x14ac:dyDescent="0.2">
      <c r="A207" t="s">
        <v>103</v>
      </c>
      <c r="B207" s="2">
        <v>172952</v>
      </c>
      <c r="D207" s="1">
        <v>5</v>
      </c>
    </row>
    <row r="208" spans="1:4" x14ac:dyDescent="0.2">
      <c r="A208" t="s">
        <v>105</v>
      </c>
      <c r="B208" s="2">
        <v>7536100</v>
      </c>
      <c r="D208" s="1">
        <v>5</v>
      </c>
    </row>
    <row r="209" spans="1:4" x14ac:dyDescent="0.2">
      <c r="A209" t="s">
        <v>106</v>
      </c>
      <c r="D209" s="1">
        <v>5</v>
      </c>
    </row>
    <row r="210" spans="1:4" x14ac:dyDescent="0.2">
      <c r="A210" t="s">
        <v>111</v>
      </c>
      <c r="D210" s="1">
        <v>5</v>
      </c>
    </row>
    <row r="211" spans="1:4" x14ac:dyDescent="0.2">
      <c r="A211" t="s">
        <v>113</v>
      </c>
      <c r="B211" s="2">
        <v>84710</v>
      </c>
      <c r="D211" s="1">
        <v>5</v>
      </c>
    </row>
    <row r="212" spans="1:4" x14ac:dyDescent="0.2">
      <c r="A212" t="s">
        <v>115</v>
      </c>
      <c r="D212" s="1">
        <v>5</v>
      </c>
    </row>
    <row r="213" spans="1:4" x14ac:dyDescent="0.2">
      <c r="A213" t="s">
        <v>119</v>
      </c>
      <c r="B213" s="2">
        <v>393600</v>
      </c>
      <c r="D213" s="1">
        <v>5</v>
      </c>
    </row>
    <row r="214" spans="1:4" x14ac:dyDescent="0.2">
      <c r="A214" t="s">
        <v>123</v>
      </c>
      <c r="D214" s="1">
        <v>5</v>
      </c>
    </row>
    <row r="215" spans="1:4" x14ac:dyDescent="0.2">
      <c r="A215" t="s">
        <v>129</v>
      </c>
      <c r="B215" s="2">
        <v>16944826</v>
      </c>
      <c r="D215" s="1">
        <v>5</v>
      </c>
    </row>
    <row r="216" spans="1:4" x14ac:dyDescent="0.2">
      <c r="A216" t="s">
        <v>130</v>
      </c>
      <c r="B216" s="2">
        <v>133515</v>
      </c>
      <c r="D216" s="1">
        <v>6</v>
      </c>
    </row>
    <row r="217" spans="1:4" x14ac:dyDescent="0.2">
      <c r="A217" t="s">
        <v>146</v>
      </c>
      <c r="B217" s="2">
        <v>32077</v>
      </c>
      <c r="D217" s="1">
        <v>6</v>
      </c>
    </row>
    <row r="218" spans="1:4" x14ac:dyDescent="0.2">
      <c r="A218" t="s">
        <v>150</v>
      </c>
      <c r="B218" s="2">
        <v>30325732</v>
      </c>
      <c r="D218" s="1">
        <v>6</v>
      </c>
    </row>
    <row r="219" spans="1:4" x14ac:dyDescent="0.2">
      <c r="A219" t="s">
        <v>153</v>
      </c>
      <c r="B219" s="2">
        <v>41996</v>
      </c>
      <c r="D219" s="1">
        <v>6</v>
      </c>
    </row>
    <row r="220" spans="1:4" x14ac:dyDescent="0.2">
      <c r="A220" t="s">
        <v>154</v>
      </c>
      <c r="B220" s="2">
        <v>1811980</v>
      </c>
      <c r="D220" s="1">
        <v>6</v>
      </c>
    </row>
    <row r="221" spans="1:4" x14ac:dyDescent="0.2">
      <c r="A221" t="s">
        <v>160</v>
      </c>
      <c r="B221" s="2">
        <v>49796</v>
      </c>
      <c r="D221" s="1">
        <v>6</v>
      </c>
    </row>
    <row r="222" spans="1:4" x14ac:dyDescent="0.2">
      <c r="A222" t="s">
        <v>163</v>
      </c>
      <c r="D222" s="1">
        <v>6</v>
      </c>
    </row>
    <row r="223" spans="1:4" x14ac:dyDescent="0.2">
      <c r="A223" t="s">
        <v>164</v>
      </c>
      <c r="D223" s="1">
        <v>6</v>
      </c>
    </row>
    <row r="224" spans="1:4" x14ac:dyDescent="0.2">
      <c r="A224" t="s">
        <v>166</v>
      </c>
      <c r="B224" s="2">
        <v>20931751</v>
      </c>
      <c r="D224" s="1">
        <v>6</v>
      </c>
    </row>
    <row r="225" spans="1:4" x14ac:dyDescent="0.2">
      <c r="A225" t="s">
        <v>168</v>
      </c>
      <c r="D225" s="1">
        <v>6</v>
      </c>
    </row>
    <row r="226" spans="1:4" x14ac:dyDescent="0.2">
      <c r="A226" t="s">
        <v>170</v>
      </c>
      <c r="B226" s="2">
        <v>267940</v>
      </c>
      <c r="D226" s="1">
        <v>6</v>
      </c>
    </row>
    <row r="227" spans="1:4" x14ac:dyDescent="0.2">
      <c r="A227" t="s">
        <v>172</v>
      </c>
      <c r="D227" s="1">
        <v>6</v>
      </c>
    </row>
    <row r="228" spans="1:4" x14ac:dyDescent="0.2">
      <c r="A228" t="s">
        <v>175</v>
      </c>
      <c r="D228" s="1">
        <v>6</v>
      </c>
    </row>
    <row r="229" spans="1:4" x14ac:dyDescent="0.2">
      <c r="A229" t="s">
        <v>179</v>
      </c>
      <c r="B229" s="2">
        <v>12780</v>
      </c>
      <c r="D229" s="1">
        <v>6</v>
      </c>
    </row>
    <row r="230" spans="1:4" x14ac:dyDescent="0.2">
      <c r="A230" t="s">
        <v>184</v>
      </c>
      <c r="D230" s="1">
        <v>6</v>
      </c>
    </row>
    <row r="231" spans="1:4" x14ac:dyDescent="0.2">
      <c r="A231" t="s">
        <v>187</v>
      </c>
      <c r="B231" s="2">
        <v>18058</v>
      </c>
      <c r="D231" s="1">
        <v>6</v>
      </c>
    </row>
    <row r="232" spans="1:4" x14ac:dyDescent="0.2">
      <c r="A232" t="s">
        <v>188</v>
      </c>
      <c r="B232" s="2">
        <v>10329931</v>
      </c>
      <c r="D232" s="1">
        <v>6</v>
      </c>
    </row>
    <row r="233" spans="1:4" x14ac:dyDescent="0.2">
      <c r="A233" t="s">
        <v>190</v>
      </c>
      <c r="B233" s="2">
        <v>3205691</v>
      </c>
      <c r="D233" s="1">
        <v>6</v>
      </c>
    </row>
    <row r="234" spans="1:4" x14ac:dyDescent="0.2">
      <c r="A234" t="s">
        <v>191</v>
      </c>
      <c r="B234" s="2">
        <v>26160821</v>
      </c>
      <c r="D234" s="1">
        <v>6</v>
      </c>
    </row>
    <row r="235" spans="1:4" x14ac:dyDescent="0.2">
      <c r="A235" t="s">
        <v>194</v>
      </c>
      <c r="B235" s="2">
        <v>5165775</v>
      </c>
      <c r="D235" s="1">
        <v>6</v>
      </c>
    </row>
    <row r="236" spans="1:4" x14ac:dyDescent="0.2">
      <c r="A236" t="s">
        <v>195</v>
      </c>
      <c r="B236" s="2">
        <v>308872</v>
      </c>
      <c r="D236" s="1">
        <v>6</v>
      </c>
    </row>
    <row r="237" spans="1:4" x14ac:dyDescent="0.2">
      <c r="A237" t="s">
        <v>197</v>
      </c>
      <c r="D237" s="1">
        <v>6</v>
      </c>
    </row>
    <row r="238" spans="1:4" x14ac:dyDescent="0.2">
      <c r="A238" t="s">
        <v>202</v>
      </c>
      <c r="D238" s="1">
        <v>6</v>
      </c>
    </row>
    <row r="239" spans="1:4" x14ac:dyDescent="0.2">
      <c r="A239" t="s">
        <v>206</v>
      </c>
      <c r="D239" s="1">
        <v>6</v>
      </c>
    </row>
    <row r="240" spans="1:4" x14ac:dyDescent="0.2">
      <c r="A240" t="s">
        <v>207</v>
      </c>
      <c r="D240" s="1">
        <v>6</v>
      </c>
    </row>
    <row r="241" spans="1:4" x14ac:dyDescent="0.2">
      <c r="A241" t="s">
        <v>208</v>
      </c>
      <c r="D241" s="1">
        <v>7</v>
      </c>
    </row>
    <row r="242" spans="1:4" x14ac:dyDescent="0.2">
      <c r="A242" t="s">
        <v>209</v>
      </c>
      <c r="B242" s="2">
        <v>740424</v>
      </c>
      <c r="D242" s="1">
        <v>7</v>
      </c>
    </row>
    <row r="243" spans="1:4" x14ac:dyDescent="0.2">
      <c r="A243" t="s">
        <v>214</v>
      </c>
      <c r="D243" s="1">
        <v>7</v>
      </c>
    </row>
    <row r="244" spans="1:4" x14ac:dyDescent="0.2">
      <c r="A244" t="s">
        <v>215</v>
      </c>
      <c r="B244" s="2">
        <v>6618026</v>
      </c>
      <c r="D244" s="1">
        <v>7</v>
      </c>
    </row>
    <row r="245" spans="1:4" x14ac:dyDescent="0.2">
      <c r="A245" t="s">
        <v>217</v>
      </c>
      <c r="B245" s="2">
        <v>231856</v>
      </c>
      <c r="D245" s="1">
        <v>7</v>
      </c>
    </row>
    <row r="246" spans="1:4" x14ac:dyDescent="0.2">
      <c r="A246" t="s">
        <v>218</v>
      </c>
      <c r="D246" s="1">
        <v>7</v>
      </c>
    </row>
    <row r="247" spans="1:4" x14ac:dyDescent="0.2">
      <c r="A247" t="s">
        <v>224</v>
      </c>
      <c r="B247" s="2">
        <v>41163</v>
      </c>
      <c r="D247" s="1">
        <v>7</v>
      </c>
    </row>
    <row r="248" spans="1:4" x14ac:dyDescent="0.2">
      <c r="A248" t="s">
        <v>227</v>
      </c>
      <c r="B248" s="2">
        <v>46062</v>
      </c>
      <c r="D248" s="1">
        <v>7</v>
      </c>
    </row>
    <row r="249" spans="1:4" x14ac:dyDescent="0.2">
      <c r="A249" t="s">
        <v>231</v>
      </c>
      <c r="D249" s="1">
        <v>7</v>
      </c>
    </row>
    <row r="250" spans="1:4" x14ac:dyDescent="0.2">
      <c r="A250" t="s">
        <v>233</v>
      </c>
      <c r="D250" s="1">
        <v>7</v>
      </c>
    </row>
    <row r="251" spans="1:4" x14ac:dyDescent="0.2">
      <c r="A251" t="s">
        <v>236</v>
      </c>
      <c r="B251" s="2">
        <v>107773</v>
      </c>
      <c r="D251" s="1">
        <v>7</v>
      </c>
    </row>
    <row r="252" spans="1:4" x14ac:dyDescent="0.2">
      <c r="A252" t="s">
        <v>240</v>
      </c>
      <c r="B252" s="2">
        <v>11396</v>
      </c>
      <c r="D252" s="1">
        <v>7</v>
      </c>
    </row>
    <row r="253" spans="1:4" x14ac:dyDescent="0.2">
      <c r="A253" t="s">
        <v>241</v>
      </c>
      <c r="D253" s="1">
        <v>7</v>
      </c>
    </row>
    <row r="254" spans="1:4" x14ac:dyDescent="0.2">
      <c r="A254" t="s">
        <v>245</v>
      </c>
      <c r="D254" s="1">
        <v>7</v>
      </c>
    </row>
    <row r="255" spans="1:4" x14ac:dyDescent="0.2">
      <c r="A255" t="s">
        <v>249</v>
      </c>
      <c r="D255" s="1">
        <v>7</v>
      </c>
    </row>
    <row r="256" spans="1:4" x14ac:dyDescent="0.2">
      <c r="A256" t="s">
        <v>251</v>
      </c>
      <c r="B256" s="2">
        <v>28838499</v>
      </c>
      <c r="D256" s="1">
        <v>7</v>
      </c>
    </row>
    <row r="257" spans="1:4" x14ac:dyDescent="0.2">
      <c r="A257" t="s">
        <v>252</v>
      </c>
      <c r="B257" s="2">
        <v>31538</v>
      </c>
      <c r="D257" s="1">
        <v>7</v>
      </c>
    </row>
    <row r="258" spans="1:4" x14ac:dyDescent="0.2">
      <c r="A258" t="s">
        <v>253</v>
      </c>
      <c r="B258" s="2">
        <v>104917</v>
      </c>
      <c r="D258" s="1">
        <v>7</v>
      </c>
    </row>
    <row r="259" spans="1:4" x14ac:dyDescent="0.2">
      <c r="A259" t="s">
        <v>255</v>
      </c>
      <c r="B259" s="2">
        <v>334506</v>
      </c>
      <c r="D259" s="1">
        <v>7</v>
      </c>
    </row>
    <row r="260" spans="1:4" x14ac:dyDescent="0.2">
      <c r="A260" t="s">
        <v>256</v>
      </c>
      <c r="D260" s="1">
        <v>7</v>
      </c>
    </row>
    <row r="261" spans="1:4" x14ac:dyDescent="0.2">
      <c r="A261" t="s">
        <v>257</v>
      </c>
      <c r="B261" s="2">
        <v>225681</v>
      </c>
      <c r="D261" s="1">
        <v>7</v>
      </c>
    </row>
    <row r="262" spans="1:4" x14ac:dyDescent="0.2">
      <c r="A262" t="s">
        <v>258</v>
      </c>
      <c r="B262" s="2">
        <v>1756374</v>
      </c>
      <c r="D262" s="1">
        <v>7</v>
      </c>
    </row>
    <row r="263" spans="1:4" x14ac:dyDescent="0.2">
      <c r="A263" t="s">
        <v>259</v>
      </c>
      <c r="D263" s="1">
        <v>7</v>
      </c>
    </row>
    <row r="264" spans="1:4" x14ac:dyDescent="0.2">
      <c r="A264" t="s">
        <v>261</v>
      </c>
      <c r="D264" s="1">
        <v>7</v>
      </c>
    </row>
    <row r="265" spans="1:4" x14ac:dyDescent="0.2">
      <c r="A265" t="s">
        <v>262</v>
      </c>
      <c r="D265" s="1">
        <v>7</v>
      </c>
    </row>
    <row r="266" spans="1:4" x14ac:dyDescent="0.2">
      <c r="A266" t="s">
        <v>263</v>
      </c>
      <c r="D266" s="1">
        <v>7</v>
      </c>
    </row>
    <row r="267" spans="1:4" x14ac:dyDescent="0.2">
      <c r="A267" t="s">
        <v>265</v>
      </c>
      <c r="D267" s="1">
        <v>7</v>
      </c>
    </row>
  </sheetData>
  <sortState xmlns:xlrd2="http://schemas.microsoft.com/office/spreadsheetml/2017/richdata2" ref="A2:D267">
    <sortCondition ref="D2:D26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18A0-3863-B446-A039-336356A56374}">
  <dimension ref="A2:B6"/>
  <sheetViews>
    <sheetView workbookViewId="0">
      <selection activeCell="A2" sqref="A2:XFD2"/>
    </sheetView>
  </sheetViews>
  <sheetFormatPr baseColWidth="10" defaultRowHeight="16" x14ac:dyDescent="0.2"/>
  <cols>
    <col min="1" max="1" width="25.83203125" customWidth="1"/>
    <col min="2" max="2" width="19.5" customWidth="1"/>
  </cols>
  <sheetData>
    <row r="2" spans="1:2" x14ac:dyDescent="0.2">
      <c r="A2" t="s">
        <v>274</v>
      </c>
      <c r="B2" s="2">
        <f>SUMIF(Masterfile!C2:C268,Masterfile!C4,Masterfile!B2:B268)</f>
        <v>6432159631</v>
      </c>
    </row>
    <row r="3" spans="1:2" x14ac:dyDescent="0.2">
      <c r="A3" t="s">
        <v>273</v>
      </c>
      <c r="B3" s="2">
        <v>8200000000</v>
      </c>
    </row>
    <row r="5" spans="1:2" x14ac:dyDescent="0.2">
      <c r="A5" t="s">
        <v>275</v>
      </c>
      <c r="B5" s="3">
        <f>B2/B3</f>
        <v>0.78440971109756097</v>
      </c>
    </row>
    <row r="6" spans="1:2" x14ac:dyDescent="0.2">
      <c r="B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Masterfile</vt:lpstr>
      <vt:lpstr>Summary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Cuenda-Garcia,M (pgr)</dc:creator>
  <cp:lastModifiedBy>Mario Cuenda Garcia</cp:lastModifiedBy>
  <dcterms:created xsi:type="dcterms:W3CDTF">2024-09-19T08:08:49Z</dcterms:created>
  <dcterms:modified xsi:type="dcterms:W3CDTF">2024-10-22T02:36:31Z</dcterms:modified>
</cp:coreProperties>
</file>