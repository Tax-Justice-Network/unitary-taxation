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xjustice-my.sharepoint.com/personal/mario_taxjustice_net1/Documents/Hexagons Tile Map/5_SOTJ_Voting/"/>
    </mc:Choice>
  </mc:AlternateContent>
  <xr:revisionPtr revIDLastSave="441" documentId="8_{2DB64EA4-A458-A84D-9F39-B6606FCFF1C9}" xr6:coauthVersionLast="47" xr6:coauthVersionMax="47" xr10:uidLastSave="{24059893-E71C-884B-9986-77ABCC2A0427}"/>
  <bookViews>
    <workbookView xWindow="0" yWindow="0" windowWidth="38400" windowHeight="21600" xr2:uid="{CFC34499-80A0-9F41-85A0-DAEADBE0D13B}"/>
  </bookViews>
  <sheets>
    <sheet name="Masterfile" sheetId="1" r:id="rId1"/>
    <sheet name="Summary Statistic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8" i="1" l="1"/>
  <c r="H224" i="1"/>
  <c r="H60" i="1"/>
  <c r="H88" i="1"/>
  <c r="H75" i="1"/>
  <c r="H198" i="1"/>
  <c r="H245" i="1"/>
  <c r="H244" i="1"/>
  <c r="H106" i="1"/>
  <c r="H108" i="1"/>
  <c r="H258" i="1"/>
  <c r="H45" i="1"/>
  <c r="H194" i="1"/>
  <c r="H254" i="1"/>
  <c r="H246" i="1"/>
  <c r="H102" i="1"/>
  <c r="H4" i="1"/>
  <c r="H48" i="1"/>
  <c r="H114" i="1"/>
  <c r="H65" i="1"/>
  <c r="H99" i="1"/>
  <c r="H43" i="1"/>
  <c r="H107" i="1"/>
  <c r="H22" i="1"/>
  <c r="H23" i="1"/>
  <c r="H19" i="1"/>
  <c r="H11" i="1"/>
  <c r="H196" i="1"/>
  <c r="H110" i="1"/>
  <c r="H186" i="1"/>
  <c r="H137" i="1"/>
  <c r="H208" i="1"/>
  <c r="H32" i="1"/>
  <c r="H66" i="1"/>
  <c r="H39" i="1"/>
  <c r="H41" i="1"/>
  <c r="H100" i="1"/>
  <c r="H70" i="1"/>
  <c r="H9" i="1"/>
  <c r="H190" i="1"/>
  <c r="H165" i="1"/>
  <c r="H187" i="1"/>
  <c r="H115" i="1"/>
  <c r="H164" i="1"/>
  <c r="H242" i="1"/>
  <c r="H72" i="1"/>
  <c r="H103" i="1"/>
  <c r="H266" i="1"/>
  <c r="H37" i="1"/>
  <c r="H80" i="1"/>
  <c r="H191" i="1"/>
  <c r="H223" i="1"/>
  <c r="H24" i="1"/>
  <c r="H62" i="1"/>
  <c r="H96" i="1"/>
  <c r="H6" i="1"/>
  <c r="H73" i="1"/>
  <c r="H17" i="1"/>
  <c r="H28" i="1"/>
  <c r="H167" i="1"/>
  <c r="H68" i="1"/>
  <c r="H63" i="1"/>
  <c r="H163" i="1"/>
  <c r="H83" i="1"/>
  <c r="H49" i="1"/>
  <c r="H182" i="1"/>
  <c r="H233" i="1"/>
  <c r="H82" i="1"/>
  <c r="H42" i="1"/>
  <c r="H15" i="1"/>
  <c r="H56" i="1"/>
  <c r="H12" i="1"/>
  <c r="H50" i="1"/>
  <c r="H18" i="1"/>
  <c r="H76" i="1"/>
  <c r="H71" i="1"/>
  <c r="H78" i="1"/>
  <c r="H47" i="1"/>
  <c r="H162" i="1"/>
  <c r="H136" i="1"/>
  <c r="H138" i="1"/>
  <c r="H117" i="1"/>
  <c r="H141" i="1"/>
  <c r="H125" i="1"/>
  <c r="H90" i="1"/>
  <c r="H151" i="1"/>
  <c r="H98" i="1"/>
  <c r="H155" i="1"/>
  <c r="H145" i="1"/>
  <c r="H36" i="1"/>
  <c r="H51" i="1"/>
  <c r="H126" i="1"/>
  <c r="H81" i="1"/>
  <c r="H148" i="1"/>
  <c r="H158" i="1"/>
  <c r="H20" i="1"/>
  <c r="H91" i="1"/>
  <c r="H67" i="1"/>
  <c r="H14" i="1"/>
  <c r="H264" i="1"/>
  <c r="H7" i="1"/>
  <c r="H118" i="1"/>
  <c r="H120" i="1"/>
  <c r="H21" i="1"/>
  <c r="H57" i="1"/>
  <c r="H119" i="1"/>
  <c r="H31" i="1"/>
  <c r="H79" i="1"/>
  <c r="H175" i="1"/>
  <c r="H10" i="1"/>
  <c r="H5" i="1"/>
  <c r="H44" i="1"/>
  <c r="H121" i="1"/>
  <c r="H29" i="1"/>
  <c r="H112" i="1"/>
  <c r="H160" i="1"/>
  <c r="H173" i="1"/>
  <c r="H89" i="1"/>
  <c r="H105" i="1"/>
  <c r="H144" i="1"/>
  <c r="H3" i="1"/>
  <c r="H161" i="1"/>
  <c r="H143" i="1"/>
  <c r="H122" i="1"/>
  <c r="H142" i="1"/>
  <c r="H46" i="1"/>
  <c r="H59" i="1"/>
  <c r="H86" i="1"/>
  <c r="H109" i="1"/>
  <c r="H235" i="1"/>
  <c r="H34" i="1"/>
  <c r="H33" i="1"/>
  <c r="H174" i="1"/>
  <c r="H77" i="1"/>
  <c r="H40" i="1"/>
  <c r="H61" i="1"/>
  <c r="H180" i="1"/>
  <c r="H154" i="1"/>
  <c r="H94" i="1"/>
  <c r="H153" i="1"/>
  <c r="H2" i="1"/>
  <c r="H55" i="1"/>
  <c r="H132" i="1"/>
  <c r="H58" i="1"/>
  <c r="H92" i="1"/>
  <c r="H170" i="1"/>
  <c r="H149" i="1"/>
  <c r="H25" i="1"/>
  <c r="H87" i="1"/>
  <c r="H146" i="1"/>
  <c r="H171" i="1"/>
  <c r="H27" i="1"/>
  <c r="H84" i="1"/>
  <c r="H104" i="1"/>
  <c r="H216" i="1"/>
  <c r="H35" i="1"/>
  <c r="H69" i="1"/>
  <c r="H54" i="1"/>
  <c r="H147" i="1"/>
  <c r="H123" i="1"/>
  <c r="H93" i="1"/>
  <c r="H8" i="1"/>
  <c r="H168" i="1"/>
  <c r="H101" i="1"/>
  <c r="H139" i="1"/>
  <c r="H130" i="1"/>
  <c r="H181" i="1"/>
  <c r="H113" i="1"/>
  <c r="H156" i="1"/>
  <c r="H177" i="1"/>
  <c r="H140" i="1"/>
  <c r="H127" i="1"/>
  <c r="H169" i="1"/>
  <c r="H178" i="1"/>
  <c r="H97" i="1"/>
  <c r="H179" i="1"/>
  <c r="H166" i="1"/>
  <c r="H53" i="1"/>
  <c r="H176" i="1"/>
  <c r="H133" i="1"/>
  <c r="H128" i="1"/>
  <c r="H74" i="1"/>
  <c r="H95" i="1"/>
  <c r="H129" i="1"/>
  <c r="H16" i="1"/>
  <c r="H157" i="1"/>
  <c r="H150" i="1"/>
  <c r="H134" i="1"/>
  <c r="H52" i="1"/>
  <c r="H131" i="1"/>
  <c r="H152" i="1"/>
  <c r="H26" i="1"/>
  <c r="H135" i="1"/>
  <c r="H255" i="1"/>
  <c r="F191" i="1"/>
  <c r="F4" i="1"/>
  <c r="F5" i="1"/>
  <c r="F19" i="1"/>
  <c r="F12" i="1"/>
  <c r="F18" i="1"/>
  <c r="F8" i="1"/>
  <c r="F7" i="1"/>
  <c r="F6" i="1"/>
  <c r="F10" i="1"/>
  <c r="F11" i="1"/>
  <c r="F14" i="1"/>
  <c r="F16" i="1"/>
  <c r="F9" i="1"/>
  <c r="F17" i="1"/>
  <c r="F13" i="1"/>
  <c r="F15" i="1"/>
  <c r="F23" i="1"/>
  <c r="F25" i="1"/>
  <c r="F26" i="1"/>
  <c r="F29" i="1"/>
  <c r="F21" i="1"/>
  <c r="F31" i="1"/>
  <c r="F28" i="1"/>
  <c r="F27" i="1"/>
  <c r="F22" i="1"/>
  <c r="F30" i="1"/>
  <c r="F32" i="1"/>
  <c r="F33" i="1"/>
  <c r="F2" i="1"/>
  <c r="F34" i="1"/>
  <c r="F35" i="1"/>
  <c r="F38" i="1"/>
  <c r="F40" i="1"/>
  <c r="F41" i="1"/>
  <c r="F75" i="1"/>
  <c r="F42" i="1"/>
  <c r="F44" i="1"/>
  <c r="F47" i="1"/>
  <c r="F43" i="1"/>
  <c r="F48" i="1"/>
  <c r="F37" i="1"/>
  <c r="F45" i="1"/>
  <c r="F46" i="1"/>
  <c r="F49" i="1"/>
  <c r="F51" i="1"/>
  <c r="F50" i="1"/>
  <c r="F53" i="1"/>
  <c r="F52" i="1"/>
  <c r="F54" i="1"/>
  <c r="F55" i="1"/>
  <c r="F56" i="1"/>
  <c r="F57" i="1"/>
  <c r="F58" i="1"/>
  <c r="F59" i="1"/>
  <c r="F62" i="1"/>
  <c r="F20" i="1"/>
  <c r="F60" i="1"/>
  <c r="F106" i="1"/>
  <c r="F61" i="1"/>
  <c r="F63" i="1"/>
  <c r="F64" i="1"/>
  <c r="F66" i="1"/>
  <c r="F67" i="1"/>
  <c r="F107" i="1"/>
  <c r="F105" i="1"/>
  <c r="F65" i="1"/>
  <c r="F77" i="1"/>
  <c r="F68" i="1"/>
  <c r="F70" i="1"/>
  <c r="F74" i="1"/>
  <c r="F71" i="1"/>
  <c r="F79" i="1"/>
  <c r="F76" i="1"/>
  <c r="F78" i="1"/>
  <c r="F72" i="1"/>
  <c r="F73" i="1"/>
  <c r="F69" i="1"/>
  <c r="F80" i="1"/>
  <c r="F83" i="1"/>
  <c r="F84" i="1"/>
  <c r="F82" i="1"/>
  <c r="F81" i="1"/>
  <c r="F86" i="1"/>
  <c r="F87" i="1"/>
  <c r="F89" i="1"/>
  <c r="F92" i="1"/>
  <c r="F93" i="1"/>
  <c r="F88" i="1"/>
  <c r="F90" i="1"/>
  <c r="F85" i="1"/>
  <c r="F91" i="1"/>
  <c r="F94" i="1"/>
  <c r="F95" i="1"/>
  <c r="F96" i="1"/>
  <c r="F97" i="1"/>
  <c r="F109" i="1"/>
  <c r="F98" i="1"/>
  <c r="F101" i="1"/>
  <c r="F102" i="1"/>
  <c r="F100" i="1"/>
  <c r="F36" i="1"/>
  <c r="F103" i="1"/>
  <c r="F110" i="1"/>
  <c r="F39" i="1"/>
  <c r="F99" i="1"/>
  <c r="F111" i="1"/>
  <c r="F24" i="1"/>
  <c r="F115" i="1"/>
  <c r="F113" i="1"/>
  <c r="F119" i="1"/>
  <c r="F114" i="1"/>
  <c r="F116" i="1"/>
  <c r="F117" i="1"/>
  <c r="F118" i="1"/>
  <c r="F112" i="1"/>
  <c r="F120" i="1"/>
  <c r="F121" i="1"/>
  <c r="F122" i="1"/>
  <c r="F108" i="1"/>
  <c r="F123" i="1"/>
  <c r="F124" i="1"/>
  <c r="F104" i="1"/>
  <c r="F125" i="1"/>
  <c r="F126" i="1"/>
  <c r="F127" i="1"/>
  <c r="F128" i="1"/>
  <c r="F129" i="1"/>
  <c r="F134" i="1"/>
  <c r="F130" i="1"/>
  <c r="F131" i="1"/>
  <c r="F133" i="1"/>
  <c r="F132" i="1"/>
  <c r="F135" i="1"/>
  <c r="F136" i="1"/>
  <c r="F137" i="1"/>
  <c r="F181" i="1"/>
  <c r="F138" i="1"/>
  <c r="F139" i="1"/>
  <c r="F140" i="1"/>
  <c r="F142" i="1"/>
  <c r="F141" i="1"/>
  <c r="F178" i="1"/>
  <c r="F143" i="1"/>
  <c r="F145" i="1"/>
  <c r="F146" i="1"/>
  <c r="F152" i="1"/>
  <c r="F147" i="1"/>
  <c r="F176" i="1"/>
  <c r="F148" i="1"/>
  <c r="F149" i="1"/>
  <c r="F150" i="1"/>
  <c r="F151" i="1"/>
  <c r="F153" i="1"/>
  <c r="F144" i="1"/>
  <c r="F154" i="1"/>
  <c r="F156" i="1"/>
  <c r="F155" i="1"/>
  <c r="F157" i="1"/>
  <c r="F159" i="1"/>
  <c r="F160" i="1"/>
  <c r="F161" i="1"/>
  <c r="F158" i="1"/>
  <c r="F164" i="1"/>
  <c r="F163" i="1"/>
  <c r="F167" i="1"/>
  <c r="F162" i="1"/>
  <c r="F165" i="1"/>
  <c r="F166" i="1"/>
  <c r="F168" i="1"/>
  <c r="F169" i="1"/>
  <c r="F170" i="1"/>
  <c r="F171" i="1"/>
  <c r="F172" i="1"/>
  <c r="F173" i="1"/>
  <c r="F174" i="1"/>
  <c r="F175" i="1"/>
  <c r="F177" i="1"/>
  <c r="F179" i="1"/>
  <c r="F180" i="1"/>
  <c r="F186" i="1"/>
  <c r="F182" i="1"/>
  <c r="F184" i="1"/>
  <c r="F187" i="1"/>
  <c r="F194" i="1"/>
  <c r="F196" i="1"/>
  <c r="F190" i="1"/>
  <c r="F198" i="1"/>
  <c r="F208" i="1"/>
  <c r="F210" i="1"/>
  <c r="F211" i="1"/>
  <c r="F216" i="1"/>
  <c r="F218" i="1"/>
  <c r="F240" i="1"/>
  <c r="F224" i="1"/>
  <c r="F232" i="1"/>
  <c r="F227" i="1"/>
  <c r="F225" i="1"/>
  <c r="F223" i="1"/>
  <c r="F229" i="1"/>
  <c r="F228" i="1"/>
  <c r="F235" i="1"/>
  <c r="F233" i="1"/>
  <c r="F222" i="1"/>
  <c r="F245" i="1"/>
  <c r="F246" i="1"/>
  <c r="F254" i="1"/>
  <c r="F255" i="1"/>
  <c r="F260" i="1"/>
  <c r="F241" i="1"/>
  <c r="F257" i="1"/>
  <c r="F258" i="1"/>
  <c r="F244" i="1"/>
  <c r="F242" i="1"/>
  <c r="F264" i="1"/>
  <c r="F265" i="1"/>
  <c r="F266" i="1"/>
  <c r="F3" i="1"/>
  <c r="O4" i="1"/>
  <c r="P4" i="1" s="1"/>
  <c r="O3" i="1"/>
  <c r="P3" i="1" s="1"/>
  <c r="O2" i="1"/>
  <c r="P2" i="1" s="1"/>
  <c r="P6" i="1" s="1"/>
  <c r="M4" i="1"/>
  <c r="N4" i="1" s="1"/>
  <c r="M3" i="1"/>
  <c r="N3" i="1" s="1"/>
  <c r="M2" i="1"/>
  <c r="N2" i="1" s="1"/>
  <c r="L4" i="1"/>
  <c r="L3" i="1"/>
  <c r="L2" i="1"/>
  <c r="B2" i="2"/>
  <c r="B5" i="2" s="1"/>
  <c r="N6" i="1" l="1"/>
  <c r="O6" i="1"/>
  <c r="M6" i="1"/>
</calcChain>
</file>

<file path=xl/sharedStrings.xml><?xml version="1.0" encoding="utf-8"?>
<sst xmlns="http://schemas.openxmlformats.org/spreadsheetml/2006/main" count="735" uniqueCount="554">
  <si>
    <t>iso3</t>
  </si>
  <si>
    <t>population</t>
  </si>
  <si>
    <t>ABW</t>
  </si>
  <si>
    <t>AFG</t>
  </si>
  <si>
    <t>AGO</t>
  </si>
  <si>
    <t>AIA</t>
  </si>
  <si>
    <t>ALA</t>
  </si>
  <si>
    <t>ALB</t>
  </si>
  <si>
    <t>AND</t>
  </si>
  <si>
    <t>ANT</t>
  </si>
  <si>
    <t>ARE</t>
  </si>
  <si>
    <t>ARG</t>
  </si>
  <si>
    <t>ARM</t>
  </si>
  <si>
    <t>ASM</t>
  </si>
  <si>
    <t>ATF</t>
  </si>
  <si>
    <t>ATG</t>
  </si>
  <si>
    <t>AUS</t>
  </si>
  <si>
    <t>AUT</t>
  </si>
  <si>
    <t>AZE</t>
  </si>
  <si>
    <t>BDI</t>
  </si>
  <si>
    <t>BEL</t>
  </si>
  <si>
    <t>BEN</t>
  </si>
  <si>
    <t>BES</t>
  </si>
  <si>
    <t>BFA</t>
  </si>
  <si>
    <t>BGD</t>
  </si>
  <si>
    <t>BGR</t>
  </si>
  <si>
    <t>BHR</t>
  </si>
  <si>
    <t>BHS</t>
  </si>
  <si>
    <t>BIH</t>
  </si>
  <si>
    <t>BLM</t>
  </si>
  <si>
    <t>BLR</t>
  </si>
  <si>
    <t>BLZ</t>
  </si>
  <si>
    <t>BMU</t>
  </si>
  <si>
    <t>BOL</t>
  </si>
  <si>
    <t>BRA</t>
  </si>
  <si>
    <t>BRB</t>
  </si>
  <si>
    <t>BRN</t>
  </si>
  <si>
    <t>BTN</t>
  </si>
  <si>
    <t>BVT</t>
  </si>
  <si>
    <t>BWA</t>
  </si>
  <si>
    <t>CAF</t>
  </si>
  <si>
    <t>CAN</t>
  </si>
  <si>
    <t>CCK</t>
  </si>
  <si>
    <t>CHE</t>
  </si>
  <si>
    <t>CHI</t>
  </si>
  <si>
    <t>CHL</t>
  </si>
  <si>
    <t>CHN</t>
  </si>
  <si>
    <t>CIV</t>
  </si>
  <si>
    <t>CMR</t>
  </si>
  <si>
    <t>COD</t>
  </si>
  <si>
    <t>COG</t>
  </si>
  <si>
    <t>COK</t>
  </si>
  <si>
    <t>COL</t>
  </si>
  <si>
    <t>COM</t>
  </si>
  <si>
    <t>CPV</t>
  </si>
  <si>
    <t>CRI</t>
  </si>
  <si>
    <t>CSK</t>
  </si>
  <si>
    <t>CUB</t>
  </si>
  <si>
    <t>CUW</t>
  </si>
  <si>
    <t>CXR</t>
  </si>
  <si>
    <t>CYM</t>
  </si>
  <si>
    <t>CYP</t>
  </si>
  <si>
    <t>CZE</t>
  </si>
  <si>
    <t>DES</t>
  </si>
  <si>
    <t>DEU</t>
  </si>
  <si>
    <t>DJI</t>
  </si>
  <si>
    <t>DMA</t>
  </si>
  <si>
    <t>DNK</t>
  </si>
  <si>
    <t>DOM</t>
  </si>
  <si>
    <t>DZA</t>
  </si>
  <si>
    <t>EAZ</t>
  </si>
  <si>
    <t>ECU</t>
  </si>
  <si>
    <t>EET</t>
  </si>
  <si>
    <t>EGY</t>
  </si>
  <si>
    <t>ERI</t>
  </si>
  <si>
    <t>ESH</t>
  </si>
  <si>
    <t>ESP</t>
  </si>
  <si>
    <t>EST</t>
  </si>
  <si>
    <t>ETH</t>
  </si>
  <si>
    <t>FCZ</t>
  </si>
  <si>
    <t>FIN</t>
  </si>
  <si>
    <t>FJI</t>
  </si>
  <si>
    <t>FLK</t>
  </si>
  <si>
    <t>FRA</t>
  </si>
  <si>
    <t>FRO</t>
  </si>
  <si>
    <t>FSM</t>
  </si>
  <si>
    <t>GAB</t>
  </si>
  <si>
    <t>GBR</t>
  </si>
  <si>
    <t>GDR</t>
  </si>
  <si>
    <t>GEO</t>
  </si>
  <si>
    <t>GGY</t>
  </si>
  <si>
    <t>GHA</t>
  </si>
  <si>
    <t>GIB</t>
  </si>
  <si>
    <t>GIN</t>
  </si>
  <si>
    <t>GLP</t>
  </si>
  <si>
    <t>GMB</t>
  </si>
  <si>
    <t>GNB</t>
  </si>
  <si>
    <t>GNQ</t>
  </si>
  <si>
    <t>GRC</t>
  </si>
  <si>
    <t>GRD</t>
  </si>
  <si>
    <t>GRL</t>
  </si>
  <si>
    <t>GTM</t>
  </si>
  <si>
    <t>GUF</t>
  </si>
  <si>
    <t>GUM</t>
  </si>
  <si>
    <t>GUY</t>
  </si>
  <si>
    <t>HKG</t>
  </si>
  <si>
    <t>HMD</t>
  </si>
  <si>
    <t>HND</t>
  </si>
  <si>
    <t>HRV</t>
  </si>
  <si>
    <t>HTI</t>
  </si>
  <si>
    <t>HUN</t>
  </si>
  <si>
    <t>IDC</t>
  </si>
  <si>
    <t>IDN</t>
  </si>
  <si>
    <t>IMN</t>
  </si>
  <si>
    <t>IND</t>
  </si>
  <si>
    <t>IOT</t>
  </si>
  <si>
    <t>IRL</t>
  </si>
  <si>
    <t>IRN</t>
  </si>
  <si>
    <t>IRQ</t>
  </si>
  <si>
    <t>ISL</t>
  </si>
  <si>
    <t>ISR</t>
  </si>
  <si>
    <t>ITA</t>
  </si>
  <si>
    <t>JAM</t>
  </si>
  <si>
    <t>JEY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</si>
  <si>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</si>
  <si>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</si>
  <si>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</si>
  <si>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</si>
  <si>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</si>
  <si>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</si>
  <si>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</si>
  <si>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</si>
  <si>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</si>
  <si>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</si>
  <si>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</si>
  <si>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</si>
  <si>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</si>
  <si>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</si>
  <si>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</si>
  <si>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</si>
  <si>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</si>
  <si>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</si>
  <si>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</si>
  <si>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</si>
  <si>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</si>
  <si>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</si>
  <si>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</si>
  <si>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</si>
  <si>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</si>
  <si>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</si>
  <si>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</si>
  <si>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</si>
  <si>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</si>
  <si>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</si>
  <si>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</si>
  <si>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</si>
  <si>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</si>
  <si>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</si>
  <si>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</si>
  <si>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</si>
  <si>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</si>
  <si>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</si>
  <si>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</si>
  <si>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MSR</t>
  </si>
  <si>
    <t>MTQ</t>
  </si>
  <si>
    <t>MUS</t>
  </si>
  <si>
    <t>MWI</t>
  </si>
  <si>
    <t>MYS</t>
  </si>
  <si>
    <t>MYT</t>
  </si>
  <si>
    <t>NAM</t>
  </si>
  <si>
    <t>NCL</t>
  </si>
  <si>
    <t>NER</t>
  </si>
  <si>
    <t>NFK</t>
  </si>
  <si>
    <t>NGA</t>
  </si>
  <si>
    <t>NIC</t>
  </si>
  <si>
    <t>NIU</t>
  </si>
  <si>
    <t>NLD</t>
  </si>
  <si>
    <t>NOR</t>
  </si>
  <si>
    <t>NPL</t>
  </si>
  <si>
    <t>NRU</t>
  </si>
  <si>
    <t>NZL</t>
  </si>
  <si>
    <t>OMN</t>
  </si>
  <si>
    <t>PAK</t>
  </si>
  <si>
    <t>PAN</t>
  </si>
  <si>
    <t>PCN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</si>
  <si>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</si>
  <si>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</si>
  <si>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</si>
  <si>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</si>
  <si>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</si>
  <si>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</si>
  <si>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</si>
  <si>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</si>
  <si>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</si>
  <si>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</si>
  <si>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PYF</t>
  </si>
  <si>
    <t>QAT</t>
  </si>
  <si>
    <t>REU</t>
  </si>
  <si>
    <t>ROU</t>
  </si>
  <si>
    <t>RUS</t>
  </si>
  <si>
    <t>RWA</t>
  </si>
  <si>
    <t>SAU</t>
  </si>
  <si>
    <t>SCG</t>
  </si>
  <si>
    <t>SDN</t>
  </si>
  <si>
    <t>SEN</t>
  </si>
  <si>
    <t>SGP</t>
  </si>
  <si>
    <t>SGS</t>
  </si>
  <si>
    <t>SHN</t>
  </si>
  <si>
    <t>SJM</t>
  </si>
  <si>
    <t>SLB</t>
  </si>
  <si>
    <t>SLE</t>
  </si>
  <si>
    <t>SLV</t>
  </si>
  <si>
    <t>SMR</t>
  </si>
  <si>
    <t>SOM</t>
  </si>
  <si>
    <t>SPM</t>
  </si>
  <si>
    <t>SRB</t>
  </si>
  <si>
    <t>SSD</t>
  </si>
  <si>
    <t>STP</t>
  </si>
  <si>
    <t>SUN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</si>
  <si>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</si>
  <si>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</si>
  <si>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</si>
  <si>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</si>
  <si>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</si>
  <si>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</si>
  <si>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</si>
  <si>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</si>
  <si>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</si>
  <si>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</si>
  <si>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</si>
  <si>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</si>
  <si>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TIB</t>
  </si>
  <si>
    <t>TJK</t>
  </si>
  <si>
    <t>TKL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</si>
  <si>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</si>
  <si>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</si>
  <si>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</si>
  <si>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</si>
  <si>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</si>
  <si>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</si>
  <si>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</si>
  <si>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</si>
  <si>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</si>
  <si>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</si>
  <si>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</si>
  <si>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UMI</t>
  </si>
  <si>
    <t>URY</t>
  </si>
  <si>
    <t>USA</t>
  </si>
  <si>
    <t>UZB</t>
  </si>
  <si>
    <t>VAT</t>
  </si>
  <si>
    <t>VCT</t>
  </si>
  <si>
    <t>VEN</t>
  </si>
  <si>
    <t>VGB</t>
  </si>
  <si>
    <t>VIR</t>
  </si>
  <si>
    <t>VNM</t>
  </si>
  <si>
    <t>VUT</t>
  </si>
  <si>
    <t>WLF</t>
  </si>
  <si>
    <t>WSM</t>
  </si>
  <si>
    <t>XKX</t>
  </si>
  <si>
    <t>YEM</t>
  </si>
  <si>
    <t>YEN</t>
  </si>
  <si>
    <t>YES</t>
  </si>
  <si>
    <t>YUG</t>
  </si>
  <si>
    <t>ZAF</t>
  </si>
  <si>
    <t>ZAR</t>
  </si>
  <si>
    <t>ZMB</t>
  </si>
  <si>
    <t>ZWE</t>
  </si>
  <si>
    <t>Yes</t>
  </si>
  <si>
    <t>TOR_vote</t>
  </si>
  <si>
    <t>No</t>
  </si>
  <si>
    <t>Abstention</t>
  </si>
  <si>
    <t>TOR_vote_dummy</t>
  </si>
  <si>
    <t>World Population</t>
  </si>
  <si>
    <t>Population of Countries that voted yes</t>
  </si>
  <si>
    <t>Percentage</t>
  </si>
  <si>
    <t>country_name</t>
  </si>
  <si>
    <t>Aruba</t>
  </si>
  <si>
    <t>Afghanistan</t>
  </si>
  <si>
    <t>Angola</t>
  </si>
  <si>
    <t>Anguilla</t>
  </si>
  <si>
    <t>Aland Islands</t>
  </si>
  <si>
    <t>Albania</t>
  </si>
  <si>
    <t>Andorra</t>
  </si>
  <si>
    <t>Netherlands Antilles</t>
  </si>
  <si>
    <t>United Arab Emirates</t>
  </si>
  <si>
    <t>Argentina</t>
  </si>
  <si>
    <t>Armenia</t>
  </si>
  <si>
    <t>American Samoa</t>
  </si>
  <si>
    <t>French Southern Territories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</si>
  <si>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</si>
  <si>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</si>
  <si>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</si>
  <si>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</si>
  <si>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</si>
  <si>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</si>
  <si>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</si>
  <si>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Bonaire, Sint Eustatius and Saba</t>
  </si>
  <si>
    <t>Burkina Faso</t>
  </si>
  <si>
    <t>Bangladesh</t>
  </si>
  <si>
    <t>Bulgaria</t>
  </si>
  <si>
    <t>Bahrain</t>
  </si>
  <si>
    <t>Bahamas</t>
  </si>
  <si>
    <t>Bosnia and Herzegovina</t>
  </si>
  <si>
    <t>Saint Barthelemy</t>
  </si>
  <si>
    <t>Belarus</t>
  </si>
  <si>
    <t>Belize</t>
  </si>
  <si>
    <t>Bermuda</t>
  </si>
  <si>
    <t>Bolivia</t>
  </si>
  <si>
    <t>Brazil</t>
  </si>
  <si>
    <t>Barbados</t>
  </si>
  <si>
    <t>Brunei</t>
  </si>
  <si>
    <t>Bhutan</t>
  </si>
  <si>
    <t>Bouvet Island</t>
  </si>
  <si>
    <t>Botswana</t>
  </si>
  <si>
    <t>Central African Republic</t>
  </si>
  <si>
    <t>Canada</t>
  </si>
  <si>
    <t>Cocos Islands</t>
  </si>
  <si>
    <t>Switzerland</t>
  </si>
  <si>
    <t>Channel Islands</t>
  </si>
  <si>
    <t>Chile</t>
  </si>
  <si>
    <t>China</t>
  </si>
  <si>
    <t>Cote d'Ivoire</t>
  </si>
  <si>
    <t>Cameroon</t>
  </si>
  <si>
    <t>Democratic Republic of the Congo</t>
  </si>
  <si>
    <t>Congo</t>
  </si>
  <si>
    <t>Cook Islands</t>
  </si>
  <si>
    <t>Colombia</t>
  </si>
  <si>
    <t>Comoros</t>
  </si>
  <si>
    <t>Cape Verde</t>
  </si>
  <si>
    <t>Costa Rica</t>
  </si>
  <si>
    <t>Czechoslovakia</t>
  </si>
  <si>
    <t>Cuba</t>
  </si>
  <si>
    <t>Curaçao</t>
  </si>
  <si>
    <t>Christmas Island</t>
  </si>
  <si>
    <t>Cayman Islands</t>
  </si>
  <si>
    <t>Cyprus</t>
  </si>
  <si>
    <t>Czechia</t>
  </si>
  <si>
    <t>West Germany</t>
  </si>
  <si>
    <t>Germany</t>
  </si>
  <si>
    <t>Djibouti</t>
  </si>
  <si>
    <t>Dominica</t>
  </si>
  <si>
    <t>Denmark</t>
  </si>
  <si>
    <t>Dominican Republic</t>
  </si>
  <si>
    <t>Algeria</t>
  </si>
  <si>
    <t>Zanzibar</t>
  </si>
  <si>
    <t>Ecuador</t>
  </si>
  <si>
    <t>Eritrea and Ethiopia</t>
  </si>
  <si>
    <t>Egypt</t>
  </si>
  <si>
    <t>Eritrea</t>
  </si>
  <si>
    <t>Western Sahara</t>
  </si>
  <si>
    <t>Spain</t>
  </si>
  <si>
    <t>Estonia</t>
  </si>
  <si>
    <t>Ethiopia</t>
  </si>
  <si>
    <t>Finland</t>
  </si>
  <si>
    <t>Fiji</t>
  </si>
  <si>
    <t>Falkland Islands</t>
  </si>
  <si>
    <t>France</t>
  </si>
  <si>
    <t>Faroe Islands</t>
  </si>
  <si>
    <t>Micronesia</t>
  </si>
  <si>
    <t>Gabon</t>
  </si>
  <si>
    <t>United Kingdom</t>
  </si>
  <si>
    <t>East Germany</t>
  </si>
  <si>
    <t>Georgia</t>
  </si>
  <si>
    <t>Guernsey</t>
  </si>
  <si>
    <t>Ghana</t>
  </si>
  <si>
    <t>Gibraltar</t>
  </si>
  <si>
    <t>Guinea</t>
  </si>
  <si>
    <t>Guadeloupe</t>
  </si>
  <si>
    <t>Gambia</t>
  </si>
  <si>
    <t>Guinea-Bissau</t>
  </si>
  <si>
    <t>Equatorial Guinea</t>
  </si>
  <si>
    <t>Greece</t>
  </si>
  <si>
    <t>Grenada</t>
  </si>
  <si>
    <t>Greenland</t>
  </si>
  <si>
    <t>Guatemala</t>
  </si>
  <si>
    <t>French Guiana</t>
  </si>
  <si>
    <t>Guam</t>
  </si>
  <si>
    <t>Guyana</t>
  </si>
  <si>
    <t>Hong Kong</t>
  </si>
  <si>
    <t>Heard Island and McDonald Islands</t>
  </si>
  <si>
    <t>Honduras</t>
  </si>
  <si>
    <t>Croatia</t>
  </si>
  <si>
    <t>Haiti</t>
  </si>
  <si>
    <t>Hungary</t>
  </si>
  <si>
    <t>Indochina</t>
  </si>
  <si>
    <t>Indonesia</t>
  </si>
  <si>
    <t>Isle of Man</t>
  </si>
  <si>
    <t>India</t>
  </si>
  <si>
    <t>British Indian Ocean Territory</t>
  </si>
  <si>
    <t>Ireland</t>
  </si>
  <si>
    <t>Iran</t>
  </si>
  <si>
    <t>Iraq</t>
  </si>
  <si>
    <t>Iceland</t>
  </si>
  <si>
    <t>Israel</t>
  </si>
  <si>
    <t>Italy</t>
  </si>
  <si>
    <t>Jamaica</t>
  </si>
  <si>
    <t>Jersey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</si>
  <si>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</si>
  <si>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</si>
  <si>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</si>
  <si>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</si>
  <si>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</si>
  <si>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</si>
  <si>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</si>
  <si>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</si>
  <si>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South Korea</t>
  </si>
  <si>
    <t>Kuwait</t>
  </si>
  <si>
    <t>Laos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</si>
  <si>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</si>
  <si>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</si>
  <si>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</si>
  <si>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</si>
  <si>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</si>
  <si>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</si>
  <si>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</si>
  <si>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</si>
  <si>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</si>
  <si>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</si>
  <si>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</t>
  </si>
  <si>
    <t>St. Martin</t>
  </si>
  <si>
    <t>Morocco</t>
  </si>
  <si>
    <t>Monaco</t>
  </si>
  <si>
    <t>Moldova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</si>
  <si>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</si>
  <si>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</si>
  <si>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</si>
  <si>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</si>
  <si>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</si>
  <si>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</si>
  <si>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</si>
  <si>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</si>
  <si>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</si>
  <si>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</si>
  <si>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</si>
  <si>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</si>
  <si>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</si>
  <si>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Montserrat</t>
  </si>
  <si>
    <t>Martinique</t>
  </si>
  <si>
    <t>Mauritius</t>
  </si>
  <si>
    <t>Malawi</t>
  </si>
  <si>
    <t>Malaysia</t>
  </si>
  <si>
    <t>Mayotte</t>
  </si>
  <si>
    <t>Namibia</t>
  </si>
  <si>
    <t>New Caledonia</t>
  </si>
  <si>
    <t>Niger</t>
  </si>
  <si>
    <t>Norfolk Island</t>
  </si>
  <si>
    <t>Nigeria</t>
  </si>
  <si>
    <t>Nicaragua</t>
  </si>
  <si>
    <t>Niue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</si>
  <si>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</si>
  <si>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</si>
  <si>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</si>
  <si>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</si>
  <si>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</si>
  <si>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</si>
  <si>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</si>
  <si>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</si>
  <si>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Pitcairn</t>
  </si>
  <si>
    <t>Peru</t>
  </si>
  <si>
    <t>Philippines</t>
  </si>
  <si>
    <t>Palau</t>
  </si>
  <si>
    <t>Papua New Guinea</t>
  </si>
  <si>
    <t>Poland</t>
  </si>
  <si>
    <t>Puerto Rico</t>
  </si>
  <si>
    <t>North Korea</t>
  </si>
  <si>
    <t>Portugal</t>
  </si>
  <si>
    <t>Paraguay</t>
  </si>
  <si>
    <t>Palestine</t>
  </si>
  <si>
    <t>French Polynesia</t>
  </si>
  <si>
    <t>Qatar</t>
  </si>
  <si>
    <t>Reunion</t>
  </si>
  <si>
    <t>Romania</t>
  </si>
  <si>
    <t>Russia</t>
  </si>
  <si>
    <t>Rwanda</t>
  </si>
  <si>
    <t>Saudi Arabia</t>
  </si>
  <si>
    <t>Serbia and Montenegro</t>
  </si>
  <si>
    <t>Sudan</t>
  </si>
  <si>
    <t>Senegal</t>
  </si>
  <si>
    <t>Singapore</t>
  </si>
  <si>
    <t>South Georgia and the South Sandwich Islands</t>
  </si>
  <si>
    <t>Saint Helena</t>
  </si>
  <si>
    <t>Svalbard and Jan Mayen Islands</t>
  </si>
  <si>
    <t>Solomon Islands</t>
  </si>
  <si>
    <t>Sierra Leone</t>
  </si>
  <si>
    <t>El Salvador</t>
  </si>
  <si>
    <t>San Marino</t>
  </si>
  <si>
    <t>Somalia</t>
  </si>
  <si>
    <t>St. Pierre and Miquelon</t>
  </si>
  <si>
    <t>Serbia</t>
  </si>
  <si>
    <t>South Sudan</t>
  </si>
  <si>
    <t>Sao Tome and Principe</t>
  </si>
  <si>
    <t>Soviet Union</t>
  </si>
  <si>
    <t>Suriname</t>
  </si>
  <si>
    <t>Slovakia</t>
  </si>
  <si>
    <t>Slovenia</t>
  </si>
  <si>
    <t>Sweden</t>
  </si>
  <si>
    <t>Eswatini</t>
  </si>
  <si>
    <t>Sint Maarten</t>
  </si>
  <si>
    <t>Seychelles</t>
  </si>
  <si>
    <t>Syria</t>
  </si>
  <si>
    <t>Turks and Caicos Islands</t>
  </si>
  <si>
    <t>Chad</t>
  </si>
  <si>
    <t>Togo</t>
  </si>
  <si>
    <t>Thailand</t>
  </si>
  <si>
    <t>Tibet</t>
  </si>
  <si>
    <t>Tajikistan</t>
  </si>
  <si>
    <t>Tokelau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</si>
  <si>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</si>
  <si>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</si>
  <si>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</si>
  <si>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</si>
  <si>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</si>
  <si>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</si>
  <si>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</si>
  <si>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</t>
  </si>
  <si>
    <t>Tanzania</t>
  </si>
  <si>
    <t>Uganda</t>
  </si>
  <si>
    <t>Ukraine</t>
  </si>
  <si>
    <t>United States Minor Outlying Islands</t>
  </si>
  <si>
    <t>Uruguay</t>
  </si>
  <si>
    <t>United States</t>
  </si>
  <si>
    <t>Uzbekistan</t>
  </si>
  <si>
    <t>Vatican</t>
  </si>
  <si>
    <t>St. Vincent &amp; Grenadines</t>
  </si>
  <si>
    <t>Venezuela</t>
  </si>
  <si>
    <t>British Virgin Islands</t>
  </si>
  <si>
    <t>US Virgin Islands</t>
  </si>
  <si>
    <t>Vietnam</t>
  </si>
  <si>
    <t>Vanuatu</t>
  </si>
  <si>
    <t>Wallis and Futuna Islands</t>
  </si>
  <si>
    <t>Samoa</t>
  </si>
  <si>
    <t>Kosovo</t>
  </si>
  <si>
    <t>Yemen</t>
  </si>
  <si>
    <t>North Yemen</t>
  </si>
  <si>
    <t>South Yemen</t>
  </si>
  <si>
    <t>Yugoslavia</t>
  </si>
  <si>
    <t>South Africa</t>
  </si>
  <si>
    <t>Zaire</t>
  </si>
  <si>
    <t>Zambia</t>
  </si>
  <si>
    <t>Zimbabwe</t>
  </si>
  <si>
    <t>Voted in November</t>
  </si>
  <si>
    <t>Total Population</t>
  </si>
  <si>
    <t>Total</t>
  </si>
  <si>
    <t>Share of the Global Population</t>
  </si>
  <si>
    <t>World Bank:</t>
  </si>
  <si>
    <t>GDP</t>
  </si>
  <si>
    <t>Total World Population including countries that did not vote (or do not have a right to vote)</t>
  </si>
  <si>
    <t>Total World GDP according to World Bank</t>
  </si>
  <si>
    <t>Total GDP</t>
  </si>
  <si>
    <t>Share of Total GDP</t>
  </si>
  <si>
    <t>Notes:</t>
  </si>
  <si>
    <t>In countries that votes yes, GDP missing for Bhutan, Cuba, Eritrea, Lebanon, North Korea, Syria, Tonga, Yemen. For countries that abstained, GPD missing for Liechsteinstein, San Marino</t>
  </si>
  <si>
    <t>Share of Global Population</t>
  </si>
  <si>
    <t>Share of global 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</si>
</sst>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3" fontId="0" fillId="0" borderId="0" xfId="0" applyNumberFormat="1"/>
    <xf numFmtId="10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EB433-C0CB-7D41-B18C-54F5B4CEB881}">
  <dimension ref="A1:P266"/>
  <sheetViews>
    <sheetView tabSelected="1" workbookViewId="0">
      <selection activeCell="F6" sqref="F6"/>
    </sheetView>
  </sheetViews>
  <sheetFormatPr baseColWidth="10" defaultRowHeight="16" x14ac:dyDescent="0.2"/>
  <cols>
    <col min="1" max="1" width="17.83203125" customWidth="1"/>
    <col min="3" max="4" width="16.6640625" style="1" customWidth="1"/>
    <col min="5" max="5" width="12.6640625" style="2" bestFit="1" customWidth="1"/>
    <col min="6" max="6" width="12.6640625" style="2" customWidth="1"/>
    <col min="7" max="7" width="17.33203125" style="2" bestFit="1" customWidth="1"/>
    <col min="8" max="8" width="12.1640625" bestFit="1" customWidth="1"/>
    <col min="9" max="10" width="12.6640625" style="2" customWidth="1"/>
    <col min="11" max="11" width="50.1640625" customWidth="1"/>
    <col min="12" max="12" width="15" customWidth="1"/>
    <col min="13" max="13" width="13.6640625" customWidth="1"/>
    <col min="14" max="14" width="18.33203125" bestFit="1" customWidth="1"/>
    <col min="15" max="15" width="32.1640625" customWidth="1"/>
    <col min="16" max="16" width="43.5" customWidth="1"/>
  </cols>
  <sheetData>
    <row r="1" spans="1:16" s="4" customFormat="1" ht="51" x14ac:dyDescent="0.2">
      <c r="A1" s="6" t="s">
        <v>275</v>
      </c>
      <c r="B1" s="6" t="s">
        <v>0</v>
      </c>
      <c r="C1" s="5" t="s">
        <v>268</v>
      </c>
      <c r="D1" s="5" t="s">
        <v>271</v>
      </c>
      <c r="E1" s="7" t="s">
        <v>1</v>
      </c>
      <c r="F1" s="7" t="s">
        <v>552</v>
      </c>
      <c r="G1" s="7" t="s">
        <v>545</v>
      </c>
      <c r="H1" s="8" t="s">
        <v>553</v>
      </c>
      <c r="I1" s="7"/>
      <c r="J1" s="7"/>
      <c r="K1" s="5"/>
      <c r="L1" s="5" t="s">
        <v>540</v>
      </c>
      <c r="M1" s="5" t="s">
        <v>541</v>
      </c>
      <c r="N1" s="5" t="s">
        <v>543</v>
      </c>
      <c r="O1" s="4" t="s">
        <v>548</v>
      </c>
      <c r="P1" s="5" t="s">
        <v>549</v>
      </c>
    </row>
    <row r="2" spans="1:16" x14ac:dyDescent="0.2">
      <c r="A2" t="s">
        <v>343</v>
      </c>
      <c r="B2" t="s">
        <v>69</v>
      </c>
      <c r="C2" s="1" t="s">
        <v>267</v>
      </c>
      <c r="D2" s="1">
        <v>1</v>
      </c>
      <c r="E2" s="2">
        <v>45606480</v>
      </c>
      <c r="F2" s="3">
        <f>E2/$M$8</f>
        <v>5.6965375968023981E-3</v>
      </c>
      <c r="G2" s="2">
        <v>247626161016.41446</v>
      </c>
      <c r="H2" s="3">
        <f>G2/$O$9</f>
        <v>2.3323552888425587E-3</v>
      </c>
      <c r="K2" t="s">
        <v>267</v>
      </c>
      <c r="L2">
        <f>COUNTIF(C:C, "Yes")</f>
        <v>125</v>
      </c>
      <c r="M2" s="2">
        <f>SUMIF(C:C, "Yes", E:E)</f>
        <v>6532963178</v>
      </c>
      <c r="N2" s="3">
        <f>M2/M8</f>
        <v>0.81600839095678246</v>
      </c>
      <c r="O2" s="2">
        <f>SUMIF(C:C, "Yes", G:G)</f>
        <v>39671359373806.016</v>
      </c>
      <c r="P2" s="3">
        <f>O2/$O$9</f>
        <v>0.3736588431176982</v>
      </c>
    </row>
    <row r="3" spans="1:16" x14ac:dyDescent="0.2">
      <c r="A3" t="s">
        <v>278</v>
      </c>
      <c r="B3" t="s">
        <v>4</v>
      </c>
      <c r="C3" s="1" t="s">
        <v>267</v>
      </c>
      <c r="D3" s="1">
        <v>1</v>
      </c>
      <c r="E3" s="2">
        <v>36684202</v>
      </c>
      <c r="F3" s="3">
        <f>E3/$M$8</f>
        <v>4.5820886834873845E-3</v>
      </c>
      <c r="G3" s="2">
        <v>84824654481.72493</v>
      </c>
      <c r="H3" s="3">
        <f>G3/$O$9</f>
        <v>7.98951252535791E-4</v>
      </c>
      <c r="K3" t="s">
        <v>269</v>
      </c>
      <c r="L3">
        <f>COUNTIF(C:C, "No")</f>
        <v>9</v>
      </c>
      <c r="M3" s="2">
        <f>SUMIF(C:C, "No", E:E)</f>
        <v>707864850</v>
      </c>
      <c r="N3" s="3">
        <f>M3/M8</f>
        <v>8.8416793654758935E-2</v>
      </c>
      <c r="O3" s="2">
        <f>SUMIF(C:C, "No", G:G)</f>
        <v>42301241292991.406</v>
      </c>
      <c r="P3" s="3">
        <f t="shared" ref="P3:P4" si="0">O3/$O$9</f>
        <v>0.39842932366008671</v>
      </c>
    </row>
    <row r="4" spans="1:16" x14ac:dyDescent="0.2">
      <c r="A4" t="s">
        <v>289</v>
      </c>
      <c r="B4" t="s">
        <v>15</v>
      </c>
      <c r="C4" s="1" t="s">
        <v>267</v>
      </c>
      <c r="D4" s="1">
        <v>1</v>
      </c>
      <c r="E4" s="2">
        <v>94298</v>
      </c>
      <c r="F4" s="3">
        <f>E4/$M$8</f>
        <v>1.1778416187859105E-5</v>
      </c>
      <c r="G4" s="2">
        <v>2033085185.185185</v>
      </c>
      <c r="H4" s="3">
        <f>G4/$O$9</f>
        <v>1.9149337714845861E-5</v>
      </c>
      <c r="K4" t="s">
        <v>270</v>
      </c>
      <c r="L4">
        <f>COUNTIF(C:C, "Abstention")</f>
        <v>46</v>
      </c>
      <c r="M4" s="2">
        <f>SUMIF(C:C, "Abstention", E:E)</f>
        <v>625512807</v>
      </c>
      <c r="N4" s="3">
        <f>M4/M8</f>
        <v>7.8130502997751691E-2</v>
      </c>
      <c r="O4" s="2">
        <f>SUMIF(C:C,"Abstention",G:G)</f>
        <v>22130817035229.809</v>
      </c>
      <c r="P4" s="3">
        <f t="shared" si="0"/>
        <v>0.20844699100715652</v>
      </c>
    </row>
    <row r="5" spans="1:16" x14ac:dyDescent="0.2">
      <c r="A5" t="s">
        <v>292</v>
      </c>
      <c r="B5" t="s">
        <v>18</v>
      </c>
      <c r="C5" s="1" t="s">
        <v>267</v>
      </c>
      <c r="D5" s="1">
        <v>1</v>
      </c>
      <c r="E5" s="2">
        <v>10112555</v>
      </c>
      <c r="F5" s="3">
        <f>E5/$M$8</f>
        <v>1.2631220334748938E-3</v>
      </c>
      <c r="G5" s="2">
        <v>72356176470.588242</v>
      </c>
      <c r="H5" s="3">
        <f>G5/$O$9</f>
        <v>6.8151244674190682E-4</v>
      </c>
      <c r="M5" s="2"/>
    </row>
    <row r="6" spans="1:16" x14ac:dyDescent="0.2">
      <c r="A6" t="s">
        <v>301</v>
      </c>
      <c r="B6" t="s">
        <v>27</v>
      </c>
      <c r="C6" s="1" t="s">
        <v>267</v>
      </c>
      <c r="D6" s="1">
        <v>1</v>
      </c>
      <c r="E6" s="2">
        <v>412623</v>
      </c>
      <c r="F6" s="3">
        <f>E6/$M$8</f>
        <v>5.1539220584561578E-5</v>
      </c>
      <c r="G6" s="2">
        <v>14338500000</v>
      </c>
      <c r="H6" s="3">
        <f>G6/$O$9</f>
        <v>1.3505227465385701E-4</v>
      </c>
      <c r="K6" t="s">
        <v>542</v>
      </c>
      <c r="M6" s="2">
        <f>SUM(M2:M4)</f>
        <v>7866340835</v>
      </c>
      <c r="N6" s="3">
        <f>SUM(N2:N4)</f>
        <v>0.98255568760929313</v>
      </c>
      <c r="O6" s="2">
        <f>SUM(O2:O4)</f>
        <v>104103417702027.23</v>
      </c>
      <c r="P6" s="3">
        <f>SUM(P2:P4)</f>
        <v>0.98053515778494149</v>
      </c>
    </row>
    <row r="7" spans="1:16" x14ac:dyDescent="0.2">
      <c r="A7" t="s">
        <v>300</v>
      </c>
      <c r="B7" t="s">
        <v>26</v>
      </c>
      <c r="C7" s="1" t="s">
        <v>267</v>
      </c>
      <c r="D7" s="1">
        <v>1</v>
      </c>
      <c r="E7" s="2">
        <v>1485509</v>
      </c>
      <c r="F7" s="3">
        <f>E7/$M$8</f>
        <v>1.8554946290282289E-4</v>
      </c>
      <c r="G7" s="2">
        <v>46079867021.276596</v>
      </c>
      <c r="H7" s="3">
        <f>G7/$O$9</f>
        <v>4.3401965735402273E-4</v>
      </c>
    </row>
    <row r="8" spans="1:16" ht="34" x14ac:dyDescent="0.2">
      <c r="A8" t="s">
        <v>298</v>
      </c>
      <c r="B8" t="s">
        <v>24</v>
      </c>
      <c r="C8" s="1" t="s">
        <v>267</v>
      </c>
      <c r="D8" s="1">
        <v>1</v>
      </c>
      <c r="E8" s="2">
        <v>172954319</v>
      </c>
      <c r="F8" s="3">
        <f>E8/$M$8</f>
        <v>2.1603087559330502E-2</v>
      </c>
      <c r="G8" s="2">
        <v>437415331040.99432</v>
      </c>
      <c r="H8" s="3">
        <f>G8/$O$9</f>
        <v>4.1199522562022639E-3</v>
      </c>
      <c r="K8" s="4" t="s">
        <v>546</v>
      </c>
      <c r="L8" t="s">
        <v>544</v>
      </c>
      <c r="M8" s="2">
        <v>8006000000</v>
      </c>
    </row>
    <row r="9" spans="1:16" ht="33" customHeight="1" x14ac:dyDescent="0.2">
      <c r="A9" t="s">
        <v>309</v>
      </c>
      <c r="B9" t="s">
        <v>35</v>
      </c>
      <c r="C9" s="1" t="s">
        <v>267</v>
      </c>
      <c r="D9" s="1">
        <v>1</v>
      </c>
      <c r="E9" s="2">
        <v>281995</v>
      </c>
      <c r="F9" s="3">
        <f>E9/$M$8</f>
        <v>3.5222957781663749E-5</v>
      </c>
      <c r="G9" s="2">
        <v>6720733200</v>
      </c>
      <c r="H9" s="3">
        <f>G9/$O$9</f>
        <v>6.3301621927098047E-5</v>
      </c>
      <c r="K9" s="4" t="s">
        <v>547</v>
      </c>
      <c r="O9" s="2">
        <v>106170000000000</v>
      </c>
    </row>
    <row r="10" spans="1:16" x14ac:dyDescent="0.2">
      <c r="A10" t="s">
        <v>304</v>
      </c>
      <c r="B10" t="s">
        <v>30</v>
      </c>
      <c r="C10" s="1" t="s">
        <v>267</v>
      </c>
      <c r="D10" s="1">
        <v>1</v>
      </c>
      <c r="E10" s="2">
        <v>9178298</v>
      </c>
      <c r="F10" s="3">
        <f>E10/$M$8</f>
        <v>1.146427429427929E-3</v>
      </c>
      <c r="G10" s="2">
        <v>71857382745.606598</v>
      </c>
      <c r="H10" s="3">
        <f>G10/$O$9</f>
        <v>6.7681438019785809E-4</v>
      </c>
      <c r="K10" t="s">
        <v>550</v>
      </c>
      <c r="P10" t="s">
        <v>551</v>
      </c>
    </row>
    <row r="11" spans="1:16" x14ac:dyDescent="0.2">
      <c r="A11" t="s">
        <v>305</v>
      </c>
      <c r="B11" t="s">
        <v>31</v>
      </c>
      <c r="C11" s="1" t="s">
        <v>267</v>
      </c>
      <c r="D11" s="1">
        <v>1</v>
      </c>
      <c r="E11" s="2">
        <v>410825</v>
      </c>
      <c r="F11" s="3">
        <f>E11/$M$8</f>
        <v>5.131463902073445E-5</v>
      </c>
      <c r="G11" s="2">
        <v>3066850000</v>
      </c>
      <c r="H11" s="3">
        <f>G11/$O$9</f>
        <v>2.8886220212866159E-5</v>
      </c>
    </row>
    <row r="12" spans="1:16" x14ac:dyDescent="0.2">
      <c r="A12" t="s">
        <v>295</v>
      </c>
      <c r="B12" t="s">
        <v>21</v>
      </c>
      <c r="C12" s="1" t="s">
        <v>267</v>
      </c>
      <c r="D12" s="1">
        <v>1</v>
      </c>
      <c r="E12" s="2">
        <v>13712828</v>
      </c>
      <c r="F12" s="3">
        <f>E12/$M$8</f>
        <v>1.7128188858356232E-3</v>
      </c>
      <c r="G12" s="2">
        <v>19676049075.701092</v>
      </c>
      <c r="H12" s="3">
        <f>G12/$O$9</f>
        <v>1.8532588373081936E-4</v>
      </c>
    </row>
    <row r="13" spans="1:16" x14ac:dyDescent="0.2">
      <c r="A13" t="s">
        <v>311</v>
      </c>
      <c r="B13" t="s">
        <v>37</v>
      </c>
      <c r="C13" s="1" t="s">
        <v>267</v>
      </c>
      <c r="D13" s="1">
        <v>1</v>
      </c>
      <c r="E13" s="2">
        <v>787424</v>
      </c>
      <c r="F13" s="3">
        <f>E13/$M$8</f>
        <v>9.8354234324256803E-5</v>
      </c>
    </row>
    <row r="14" spans="1:16" x14ac:dyDescent="0.2">
      <c r="A14" t="s">
        <v>307</v>
      </c>
      <c r="B14" t="s">
        <v>33</v>
      </c>
      <c r="C14" s="1" t="s">
        <v>267</v>
      </c>
      <c r="D14" s="1">
        <v>1</v>
      </c>
      <c r="E14" s="2">
        <v>12388571</v>
      </c>
      <c r="F14" s="3">
        <f>E14/$M$8</f>
        <v>1.5474108168873344E-3</v>
      </c>
      <c r="G14" s="2">
        <v>45135398008.816635</v>
      </c>
      <c r="H14" s="3">
        <f>G14/$O$9</f>
        <v>4.2512383920897273E-4</v>
      </c>
    </row>
    <row r="15" spans="1:16" x14ac:dyDescent="0.2">
      <c r="A15" t="s">
        <v>313</v>
      </c>
      <c r="B15" t="s">
        <v>39</v>
      </c>
      <c r="C15" s="1" t="s">
        <v>267</v>
      </c>
      <c r="D15" s="1">
        <v>1</v>
      </c>
      <c r="E15" s="2">
        <v>2675352</v>
      </c>
      <c r="F15" s="3">
        <f>E15/$M$8</f>
        <v>3.3416837371971021E-4</v>
      </c>
      <c r="G15" s="2">
        <v>19396084498.008404</v>
      </c>
      <c r="H15" s="3">
        <f>G15/$O$9</f>
        <v>1.8268893753422251E-4</v>
      </c>
    </row>
    <row r="16" spans="1:16" x14ac:dyDescent="0.2">
      <c r="A16" t="s">
        <v>308</v>
      </c>
      <c r="B16" t="s">
        <v>34</v>
      </c>
      <c r="C16" s="1" t="s">
        <v>267</v>
      </c>
      <c r="D16" s="1">
        <v>1</v>
      </c>
      <c r="E16" s="2">
        <v>216422446</v>
      </c>
      <c r="F16" s="3">
        <f>E16/$M$8</f>
        <v>2.7032531351486384E-2</v>
      </c>
      <c r="G16" s="2">
        <v>2173665655937.2737</v>
      </c>
      <c r="H16" s="3">
        <f>G16/$O$9</f>
        <v>2.047344500270579E-2</v>
      </c>
    </row>
    <row r="17" spans="1:8" x14ac:dyDescent="0.2">
      <c r="A17" t="s">
        <v>310</v>
      </c>
      <c r="B17" t="s">
        <v>36</v>
      </c>
      <c r="C17" s="1" t="s">
        <v>267</v>
      </c>
      <c r="D17" s="1">
        <v>1</v>
      </c>
      <c r="E17" s="2">
        <v>452524</v>
      </c>
      <c r="F17" s="3">
        <f>E17/$M$8</f>
        <v>5.6523107669248064E-5</v>
      </c>
      <c r="G17" s="2">
        <v>15128292980.863836</v>
      </c>
      <c r="H17" s="3">
        <f>G17/$O$9</f>
        <v>1.4249122144545387E-4</v>
      </c>
    </row>
    <row r="18" spans="1:8" x14ac:dyDescent="0.2">
      <c r="A18" t="s">
        <v>297</v>
      </c>
      <c r="B18" t="s">
        <v>23</v>
      </c>
      <c r="C18" s="1" t="s">
        <v>267</v>
      </c>
      <c r="D18" s="1">
        <v>1</v>
      </c>
      <c r="E18" s="2">
        <v>23251485</v>
      </c>
      <c r="F18" s="3">
        <f>E18/$M$8</f>
        <v>2.9042574319260556E-3</v>
      </c>
      <c r="G18" s="2">
        <v>20324617844.526535</v>
      </c>
      <c r="H18" s="3">
        <f>G18/$O$9</f>
        <v>1.9143465992772473E-4</v>
      </c>
    </row>
    <row r="19" spans="1:8" x14ac:dyDescent="0.2">
      <c r="A19" t="s">
        <v>293</v>
      </c>
      <c r="B19" t="s">
        <v>19</v>
      </c>
      <c r="C19" s="1" t="s">
        <v>267</v>
      </c>
      <c r="D19" s="1">
        <v>1</v>
      </c>
      <c r="E19" s="2">
        <v>13238559</v>
      </c>
      <c r="F19" s="3">
        <f>E19/$M$8</f>
        <v>1.6535796902323258E-3</v>
      </c>
      <c r="G19" s="2">
        <v>2642161668.8521075</v>
      </c>
      <c r="H19" s="3">
        <f>G19/$O$9</f>
        <v>2.4886141742979254E-5</v>
      </c>
    </row>
    <row r="20" spans="1:8" x14ac:dyDescent="0.2">
      <c r="A20" t="s">
        <v>402</v>
      </c>
      <c r="B20" t="s">
        <v>129</v>
      </c>
      <c r="C20" s="1" t="s">
        <v>267</v>
      </c>
      <c r="D20" s="1">
        <v>1</v>
      </c>
      <c r="E20" s="2">
        <v>16944826</v>
      </c>
      <c r="F20" s="3">
        <f>E20/$M$8</f>
        <v>2.1165158631026729E-3</v>
      </c>
      <c r="G20" s="2">
        <v>42335646895.798386</v>
      </c>
      <c r="H20" s="3">
        <f>G20/$O$9</f>
        <v>3.9875338509746998E-4</v>
      </c>
    </row>
    <row r="21" spans="1:8" x14ac:dyDescent="0.2">
      <c r="A21" t="s">
        <v>322</v>
      </c>
      <c r="B21" t="s">
        <v>48</v>
      </c>
      <c r="C21" s="1" t="s">
        <v>267</v>
      </c>
      <c r="D21" s="1">
        <v>1</v>
      </c>
      <c r="E21" s="2">
        <v>28647293</v>
      </c>
      <c r="F21" s="3">
        <f>E21/$M$8</f>
        <v>3.578227954034474E-3</v>
      </c>
      <c r="G21" s="2">
        <v>49279410982.825966</v>
      </c>
      <c r="H21" s="3">
        <f>G21/$O$9</f>
        <v>4.6415570295588177E-4</v>
      </c>
    </row>
    <row r="22" spans="1:8" x14ac:dyDescent="0.2">
      <c r="A22" t="s">
        <v>328</v>
      </c>
      <c r="B22" t="s">
        <v>54</v>
      </c>
      <c r="C22" s="1" t="s">
        <v>267</v>
      </c>
      <c r="D22" s="1">
        <v>1</v>
      </c>
      <c r="E22" s="2">
        <v>598682</v>
      </c>
      <c r="F22" s="3">
        <f>E22/$M$8</f>
        <v>7.4779165625780665E-5</v>
      </c>
      <c r="G22" s="2">
        <v>2533819406.4915967</v>
      </c>
      <c r="H22" s="3">
        <f>G22/$O$9</f>
        <v>2.3865681515414868E-5</v>
      </c>
    </row>
    <row r="23" spans="1:8" x14ac:dyDescent="0.2">
      <c r="A23" t="s">
        <v>314</v>
      </c>
      <c r="B23" t="s">
        <v>40</v>
      </c>
      <c r="C23" s="1" t="s">
        <v>267</v>
      </c>
      <c r="D23" s="1">
        <v>1</v>
      </c>
      <c r="E23" s="2">
        <v>5742315</v>
      </c>
      <c r="F23" s="3">
        <f>E23/$M$8</f>
        <v>7.1725143642268295E-4</v>
      </c>
      <c r="G23" s="2">
        <v>2555492085.2483063</v>
      </c>
      <c r="H23" s="3">
        <f>G23/$O$9</f>
        <v>2.4069813367696206E-5</v>
      </c>
    </row>
    <row r="24" spans="1:8" x14ac:dyDescent="0.2">
      <c r="A24" t="s">
        <v>501</v>
      </c>
      <c r="B24" t="s">
        <v>228</v>
      </c>
      <c r="C24" s="1" t="s">
        <v>267</v>
      </c>
      <c r="D24" s="1">
        <v>1</v>
      </c>
      <c r="E24" s="2">
        <v>18278568</v>
      </c>
      <c r="F24" s="3">
        <f>E24/$M$8</f>
        <v>2.2831086684986261E-3</v>
      </c>
      <c r="G24" s="2">
        <v>13149325362.334669</v>
      </c>
      <c r="H24" s="3">
        <f>G24/$O$9</f>
        <v>1.2385160932782018E-4</v>
      </c>
    </row>
    <row r="25" spans="1:8" x14ac:dyDescent="0.2">
      <c r="A25" t="s">
        <v>319</v>
      </c>
      <c r="B25" t="s">
        <v>45</v>
      </c>
      <c r="C25" s="1" t="s">
        <v>267</v>
      </c>
      <c r="D25" s="1">
        <v>1</v>
      </c>
      <c r="E25" s="2">
        <v>19629590</v>
      </c>
      <c r="F25" s="3">
        <f>E25/$M$8</f>
        <v>2.4518598551086686E-3</v>
      </c>
      <c r="G25" s="2">
        <v>335533331669.21912</v>
      </c>
      <c r="H25" s="3">
        <f>G25/$O$9</f>
        <v>3.1603403190093166E-3</v>
      </c>
    </row>
    <row r="26" spans="1:8" x14ac:dyDescent="0.2">
      <c r="A26" t="s">
        <v>320</v>
      </c>
      <c r="B26" t="s">
        <v>46</v>
      </c>
      <c r="C26" s="1" t="s">
        <v>267</v>
      </c>
      <c r="D26" s="1">
        <v>1</v>
      </c>
      <c r="E26" s="2">
        <v>1410710000</v>
      </c>
      <c r="F26" s="3">
        <f>E26/$M$8</f>
        <v>0.17620659505370972</v>
      </c>
      <c r="G26" s="2">
        <v>17794783039551.957</v>
      </c>
      <c r="H26" s="3">
        <f>G26/$O$9</f>
        <v>0.16760650880241082</v>
      </c>
    </row>
    <row r="27" spans="1:8" x14ac:dyDescent="0.2">
      <c r="A27" t="s">
        <v>326</v>
      </c>
      <c r="B27" t="s">
        <v>52</v>
      </c>
      <c r="C27" s="1" t="s">
        <v>267</v>
      </c>
      <c r="D27" s="1">
        <v>1</v>
      </c>
      <c r="E27" s="2">
        <v>52085168</v>
      </c>
      <c r="F27" s="3">
        <f>E27/$M$8</f>
        <v>6.505766674993755E-3</v>
      </c>
      <c r="G27" s="2">
        <v>363493841244.30328</v>
      </c>
      <c r="H27" s="3">
        <f>G27/$O$9</f>
        <v>3.4236963477847159E-3</v>
      </c>
    </row>
    <row r="28" spans="1:8" x14ac:dyDescent="0.2">
      <c r="A28" t="s">
        <v>324</v>
      </c>
      <c r="B28" t="s">
        <v>50</v>
      </c>
      <c r="C28" s="1" t="s">
        <v>267</v>
      </c>
      <c r="D28" s="1">
        <v>1</v>
      </c>
      <c r="E28" s="2">
        <v>6106869</v>
      </c>
      <c r="F28" s="3">
        <f>E28/$M$8</f>
        <v>7.6278653509867598E-4</v>
      </c>
      <c r="G28" s="2">
        <v>15321055822.516701</v>
      </c>
      <c r="H28" s="3">
        <f>G28/$O$9</f>
        <v>1.4430682699930961E-4</v>
      </c>
    </row>
    <row r="29" spans="1:8" x14ac:dyDescent="0.2">
      <c r="A29" t="s">
        <v>321</v>
      </c>
      <c r="B29" t="s">
        <v>47</v>
      </c>
      <c r="C29" s="1" t="s">
        <v>267</v>
      </c>
      <c r="D29" s="1">
        <v>1</v>
      </c>
      <c r="E29" s="2">
        <v>28873034</v>
      </c>
      <c r="F29" s="3">
        <f>E29/$M$8</f>
        <v>3.6064244316762429E-3</v>
      </c>
      <c r="G29" s="2">
        <v>78875489245.053848</v>
      </c>
      <c r="H29" s="3">
        <f>G29/$O$9</f>
        <v>7.4291691857449234E-4</v>
      </c>
    </row>
    <row r="30" spans="1:8" x14ac:dyDescent="0.2">
      <c r="A30" t="s">
        <v>331</v>
      </c>
      <c r="B30" t="s">
        <v>57</v>
      </c>
      <c r="C30" s="1" t="s">
        <v>267</v>
      </c>
      <c r="D30" s="1">
        <v>1</v>
      </c>
      <c r="E30" s="2">
        <v>11194449</v>
      </c>
      <c r="F30" s="3">
        <f>E30/$M$8</f>
        <v>1.3982574319260554E-3</v>
      </c>
    </row>
    <row r="31" spans="1:8" x14ac:dyDescent="0.2">
      <c r="A31" t="s">
        <v>323</v>
      </c>
      <c r="B31" t="s">
        <v>49</v>
      </c>
      <c r="C31" s="1" t="s">
        <v>267</v>
      </c>
      <c r="D31" s="1">
        <v>1</v>
      </c>
      <c r="E31" s="2">
        <v>102262808</v>
      </c>
      <c r="F31" s="3">
        <f>E31/$M$8</f>
        <v>1.2773271046714964E-2</v>
      </c>
      <c r="G31" s="2">
        <v>66383287002.986664</v>
      </c>
      <c r="H31" s="3">
        <f>G31/$O$9</f>
        <v>6.2525465765269532E-4</v>
      </c>
    </row>
    <row r="32" spans="1:8" x14ac:dyDescent="0.2">
      <c r="A32" t="s">
        <v>339</v>
      </c>
      <c r="B32" t="s">
        <v>65</v>
      </c>
      <c r="C32" s="1" t="s">
        <v>267</v>
      </c>
      <c r="D32" s="1">
        <v>1</v>
      </c>
      <c r="E32" s="2">
        <v>1136455</v>
      </c>
      <c r="F32" s="3">
        <f>E32/$M$8</f>
        <v>1.4195041219085687E-4</v>
      </c>
      <c r="G32" s="2">
        <v>4098530513.5577674</v>
      </c>
      <c r="H32" s="3">
        <f>G32/$O$9</f>
        <v>3.8603470976337645E-5</v>
      </c>
    </row>
    <row r="33" spans="1:8" x14ac:dyDescent="0.2">
      <c r="A33" t="s">
        <v>342</v>
      </c>
      <c r="B33" t="s">
        <v>68</v>
      </c>
      <c r="C33" s="1" t="s">
        <v>267</v>
      </c>
      <c r="D33" s="1">
        <v>1</v>
      </c>
      <c r="E33" s="2">
        <v>11332972</v>
      </c>
      <c r="F33" s="3">
        <f>E33/$M$8</f>
        <v>1.4155598301274044E-3</v>
      </c>
      <c r="G33" s="2">
        <v>121444279313.93079</v>
      </c>
      <c r="H33" s="3">
        <f>G33/$O$9</f>
        <v>1.143866245774991E-3</v>
      </c>
    </row>
    <row r="34" spans="1:8" x14ac:dyDescent="0.2">
      <c r="A34" t="s">
        <v>345</v>
      </c>
      <c r="B34" t="s">
        <v>71</v>
      </c>
      <c r="C34" s="1" t="s">
        <v>267</v>
      </c>
      <c r="D34" s="1">
        <v>1</v>
      </c>
      <c r="E34" s="2">
        <v>18190484</v>
      </c>
      <c r="F34" s="3">
        <f>E34/$M$8</f>
        <v>2.2721064201848612E-3</v>
      </c>
      <c r="G34" s="2">
        <v>118844826000</v>
      </c>
      <c r="H34" s="3">
        <f>G34/$O$9</f>
        <v>1.1193823679005368E-3</v>
      </c>
    </row>
    <row r="35" spans="1:8" x14ac:dyDescent="0.2">
      <c r="A35" t="s">
        <v>347</v>
      </c>
      <c r="B35" t="s">
        <v>73</v>
      </c>
      <c r="C35" s="1" t="s">
        <v>267</v>
      </c>
      <c r="D35" s="1">
        <v>1</v>
      </c>
      <c r="E35" s="2">
        <v>112716598</v>
      </c>
      <c r="F35" s="3">
        <f>E35/$M$8</f>
        <v>1.4079015488383712E-2</v>
      </c>
      <c r="G35" s="2">
        <v>396002496996.95966</v>
      </c>
      <c r="H35" s="3">
        <f>G35/$O$9</f>
        <v>3.7298907129788045E-3</v>
      </c>
    </row>
    <row r="36" spans="1:8" x14ac:dyDescent="0.2">
      <c r="A36" t="s">
        <v>484</v>
      </c>
      <c r="B36" t="s">
        <v>211</v>
      </c>
      <c r="C36" s="1" t="s">
        <v>267</v>
      </c>
      <c r="D36" s="1">
        <v>1</v>
      </c>
      <c r="E36" s="2">
        <v>6364943</v>
      </c>
      <c r="F36" s="3">
        <f>E36/$M$8</f>
        <v>7.9502160879340493E-4</v>
      </c>
      <c r="G36" s="2">
        <v>34015620000</v>
      </c>
      <c r="H36" s="3">
        <f>G36/$O$9</f>
        <v>3.2038824526702458E-4</v>
      </c>
    </row>
    <row r="37" spans="1:8" x14ac:dyDescent="0.2">
      <c r="A37" t="s">
        <v>370</v>
      </c>
      <c r="B37" t="s">
        <v>97</v>
      </c>
      <c r="C37" s="1" t="s">
        <v>267</v>
      </c>
      <c r="D37" s="1">
        <v>1</v>
      </c>
      <c r="E37" s="2">
        <v>1714671</v>
      </c>
      <c r="F37" s="3">
        <f>E37/$M$8</f>
        <v>2.1417324506620036E-4</v>
      </c>
      <c r="G37" s="2">
        <v>12337550583.753971</v>
      </c>
      <c r="H37" s="3">
        <f>G37/$O$9</f>
        <v>1.1620561913679921E-4</v>
      </c>
    </row>
    <row r="38" spans="1:8" x14ac:dyDescent="0.2">
      <c r="A38" t="s">
        <v>348</v>
      </c>
      <c r="B38" t="s">
        <v>74</v>
      </c>
      <c r="C38" s="1" t="s">
        <v>267</v>
      </c>
      <c r="D38" s="1">
        <v>1</v>
      </c>
      <c r="E38" s="2">
        <v>3748901</v>
      </c>
      <c r="F38" s="3">
        <f>E38/$M$8</f>
        <v>4.6826142892830377E-4</v>
      </c>
    </row>
    <row r="39" spans="1:8" x14ac:dyDescent="0.2">
      <c r="A39" t="s">
        <v>496</v>
      </c>
      <c r="B39" t="s">
        <v>223</v>
      </c>
      <c r="C39" s="1" t="s">
        <v>267</v>
      </c>
      <c r="D39" s="1">
        <v>1</v>
      </c>
      <c r="E39" s="2">
        <v>1210822</v>
      </c>
      <c r="F39" s="3">
        <f>E39/$M$8</f>
        <v>1.5123932050961779E-4</v>
      </c>
      <c r="G39" s="2">
        <v>4442875788.0850515</v>
      </c>
      <c r="H39" s="3">
        <f>G39/$O$9</f>
        <v>4.1846809721061047E-5</v>
      </c>
    </row>
    <row r="40" spans="1:8" x14ac:dyDescent="0.2">
      <c r="A40" t="s">
        <v>352</v>
      </c>
      <c r="B40" t="s">
        <v>78</v>
      </c>
      <c r="C40" s="1" t="s">
        <v>267</v>
      </c>
      <c r="D40" s="1">
        <v>1</v>
      </c>
      <c r="E40" s="2">
        <v>126527060</v>
      </c>
      <c r="F40" s="3">
        <f>E40/$M$8</f>
        <v>1.5804029477891581E-2</v>
      </c>
      <c r="G40" s="2">
        <v>163697927593.98236</v>
      </c>
      <c r="H40" s="3">
        <f>G40/$O$9</f>
        <v>1.5418472976733762E-3</v>
      </c>
    </row>
    <row r="41" spans="1:8" x14ac:dyDescent="0.2">
      <c r="A41" t="s">
        <v>354</v>
      </c>
      <c r="B41" t="s">
        <v>81</v>
      </c>
      <c r="C41" s="1" t="s">
        <v>267</v>
      </c>
      <c r="D41" s="1">
        <v>1</v>
      </c>
      <c r="E41" s="2">
        <v>936375</v>
      </c>
      <c r="F41" s="3">
        <f>E41/$M$8</f>
        <v>1.1695915563327504E-4</v>
      </c>
      <c r="G41" s="2">
        <v>5442046565.0471859</v>
      </c>
      <c r="H41" s="3">
        <f>G41/$O$9</f>
        <v>5.1257855939033491E-5</v>
      </c>
    </row>
    <row r="42" spans="1:8" x14ac:dyDescent="0.2">
      <c r="A42" t="s">
        <v>359</v>
      </c>
      <c r="B42" t="s">
        <v>86</v>
      </c>
      <c r="C42" s="1" t="s">
        <v>267</v>
      </c>
      <c r="D42" s="1">
        <v>1</v>
      </c>
      <c r="E42" s="2">
        <v>2436566</v>
      </c>
      <c r="F42" s="3">
        <f>E42/$M$8</f>
        <v>3.0434249313015236E-4</v>
      </c>
      <c r="G42" s="2">
        <v>19388402541.669777</v>
      </c>
      <c r="H42" s="3">
        <f>G42/$O$9</f>
        <v>1.8261658228943935E-4</v>
      </c>
    </row>
    <row r="43" spans="1:8" x14ac:dyDescent="0.2">
      <c r="A43" t="s">
        <v>368</v>
      </c>
      <c r="B43" t="s">
        <v>95</v>
      </c>
      <c r="C43" s="1" t="s">
        <v>267</v>
      </c>
      <c r="D43" s="1">
        <v>1</v>
      </c>
      <c r="E43" s="2">
        <v>2773168</v>
      </c>
      <c r="F43" s="3">
        <f>E43/$M$8</f>
        <v>3.4638621034224331E-4</v>
      </c>
      <c r="G43" s="2">
        <v>2396111021.6414862</v>
      </c>
      <c r="H43" s="3">
        <f>G43/$O$9</f>
        <v>2.256862599266729E-5</v>
      </c>
    </row>
    <row r="44" spans="1:8" x14ac:dyDescent="0.2">
      <c r="A44" t="s">
        <v>364</v>
      </c>
      <c r="B44" t="s">
        <v>91</v>
      </c>
      <c r="C44" s="1" t="s">
        <v>267</v>
      </c>
      <c r="D44" s="1">
        <v>1</v>
      </c>
      <c r="E44" s="2">
        <v>34121985</v>
      </c>
      <c r="F44" s="3">
        <f>E44/$M$8</f>
        <v>4.262051586310267E-3</v>
      </c>
      <c r="G44" s="2">
        <v>76370396722.154022</v>
      </c>
      <c r="H44" s="3">
        <f>G44/$O$9</f>
        <v>7.193218114547803E-4</v>
      </c>
    </row>
    <row r="45" spans="1:8" x14ac:dyDescent="0.2">
      <c r="A45" t="s">
        <v>372</v>
      </c>
      <c r="B45" t="s">
        <v>99</v>
      </c>
      <c r="C45" s="1" t="s">
        <v>267</v>
      </c>
      <c r="D45" s="1">
        <v>1</v>
      </c>
      <c r="E45" s="2">
        <v>126183</v>
      </c>
      <c r="F45" s="3">
        <f>E45/$M$8</f>
        <v>1.5761054209342992E-5</v>
      </c>
      <c r="G45" s="2">
        <v>1316733333.3333333</v>
      </c>
      <c r="H45" s="3">
        <f>G45/$O$9</f>
        <v>1.2402122382342783E-5</v>
      </c>
    </row>
    <row r="46" spans="1:8" x14ac:dyDescent="0.2">
      <c r="A46" t="s">
        <v>374</v>
      </c>
      <c r="B46" t="s">
        <v>101</v>
      </c>
      <c r="C46" s="1" t="s">
        <v>267</v>
      </c>
      <c r="D46" s="1">
        <v>1</v>
      </c>
      <c r="E46" s="2">
        <v>17602431</v>
      </c>
      <c r="F46" s="3">
        <f>E46/$M$8</f>
        <v>2.198654883837122E-3</v>
      </c>
      <c r="G46" s="2">
        <v>104450210572.01225</v>
      </c>
      <c r="H46" s="3">
        <f>G46/$O$9</f>
        <v>9.8380155008017571E-4</v>
      </c>
    </row>
    <row r="47" spans="1:8" x14ac:dyDescent="0.2">
      <c r="A47" t="s">
        <v>366</v>
      </c>
      <c r="B47" t="s">
        <v>93</v>
      </c>
      <c r="C47" s="1" t="s">
        <v>267</v>
      </c>
      <c r="D47" s="1">
        <v>1</v>
      </c>
      <c r="E47" s="2">
        <v>14190612</v>
      </c>
      <c r="F47" s="3">
        <f>E47/$M$8</f>
        <v>1.7724971271546341E-3</v>
      </c>
      <c r="G47" s="2">
        <v>22199409741.257809</v>
      </c>
      <c r="H47" s="3">
        <f>G47/$O$9</f>
        <v>2.0909305586566646E-4</v>
      </c>
    </row>
    <row r="48" spans="1:8" x14ac:dyDescent="0.2">
      <c r="A48" t="s">
        <v>369</v>
      </c>
      <c r="B48" t="s">
        <v>96</v>
      </c>
      <c r="C48" s="1" t="s">
        <v>267</v>
      </c>
      <c r="D48" s="1">
        <v>1</v>
      </c>
      <c r="E48" s="2">
        <v>2150842</v>
      </c>
      <c r="F48" s="3">
        <f>E48/$M$8</f>
        <v>2.6865375968023982E-4</v>
      </c>
      <c r="G48" s="2">
        <v>2048348108.3585193</v>
      </c>
      <c r="H48" s="3">
        <f>G48/$O$9</f>
        <v>1.9293096998761602E-5</v>
      </c>
    </row>
    <row r="49" spans="1:8" x14ac:dyDescent="0.2">
      <c r="A49" t="s">
        <v>377</v>
      </c>
      <c r="B49" t="s">
        <v>104</v>
      </c>
      <c r="C49" s="1" t="s">
        <v>267</v>
      </c>
      <c r="D49" s="1">
        <v>1</v>
      </c>
      <c r="E49" s="2">
        <v>813834</v>
      </c>
      <c r="F49" s="3">
        <f>E49/$M$8</f>
        <v>1.0165301024231826E-4</v>
      </c>
      <c r="G49" s="2">
        <v>17159509565.467627</v>
      </c>
      <c r="H49" s="3">
        <f>G49/$O$9</f>
        <v>1.6162295907947279E-4</v>
      </c>
    </row>
    <row r="50" spans="1:8" x14ac:dyDescent="0.2">
      <c r="A50" t="s">
        <v>382</v>
      </c>
      <c r="B50" t="s">
        <v>109</v>
      </c>
      <c r="C50" s="1" t="s">
        <v>267</v>
      </c>
      <c r="D50" s="1">
        <v>1</v>
      </c>
      <c r="E50" s="2">
        <v>11724763</v>
      </c>
      <c r="F50" s="3">
        <f>E50/$M$8</f>
        <v>1.4644970022483137E-3</v>
      </c>
      <c r="G50" s="2">
        <v>19850829757.541847</v>
      </c>
      <c r="H50" s="3">
        <f>G50/$O$9</f>
        <v>1.8697211790093103E-4</v>
      </c>
    </row>
    <row r="51" spans="1:8" x14ac:dyDescent="0.2">
      <c r="A51" t="s">
        <v>380</v>
      </c>
      <c r="B51" t="s">
        <v>107</v>
      </c>
      <c r="C51" s="1" t="s">
        <v>267</v>
      </c>
      <c r="D51" s="1">
        <v>1</v>
      </c>
      <c r="E51" s="2">
        <v>10593798</v>
      </c>
      <c r="F51" s="3">
        <f>E51/$M$8</f>
        <v>1.3232323257556832E-3</v>
      </c>
      <c r="G51" s="2">
        <v>34400509852.043648</v>
      </c>
      <c r="H51" s="3">
        <f>G51/$O$9</f>
        <v>3.2401346757128801E-4</v>
      </c>
    </row>
    <row r="52" spans="1:8" x14ac:dyDescent="0.2">
      <c r="A52" t="s">
        <v>387</v>
      </c>
      <c r="B52" t="s">
        <v>114</v>
      </c>
      <c r="C52" s="1" t="s">
        <v>267</v>
      </c>
      <c r="D52" s="1">
        <v>1</v>
      </c>
      <c r="E52" s="2">
        <v>1428627663</v>
      </c>
      <c r="F52" s="3">
        <f>E52/$M$8</f>
        <v>0.17844462440669498</v>
      </c>
      <c r="G52" s="2">
        <v>3567551674623.0068</v>
      </c>
      <c r="H52" s="3">
        <f>G52/$O$9</f>
        <v>3.3602257460892973E-2</v>
      </c>
    </row>
    <row r="53" spans="1:8" x14ac:dyDescent="0.2">
      <c r="A53" t="s">
        <v>385</v>
      </c>
      <c r="B53" t="s">
        <v>112</v>
      </c>
      <c r="C53" s="1" t="s">
        <v>267</v>
      </c>
      <c r="D53" s="1">
        <v>1</v>
      </c>
      <c r="E53" s="2">
        <v>277534122</v>
      </c>
      <c r="F53" s="3">
        <f>E53/$M$8</f>
        <v>3.4665765925555835E-2</v>
      </c>
      <c r="G53" s="2">
        <v>1371171152331.155</v>
      </c>
      <c r="H53" s="3">
        <f>G53/$O$9</f>
        <v>1.2914864390422482E-2</v>
      </c>
    </row>
    <row r="54" spans="1:8" x14ac:dyDescent="0.2">
      <c r="A54" t="s">
        <v>390</v>
      </c>
      <c r="B54" t="s">
        <v>117</v>
      </c>
      <c r="C54" s="1" t="s">
        <v>267</v>
      </c>
      <c r="D54" s="1">
        <v>1</v>
      </c>
      <c r="E54" s="2">
        <v>89172767</v>
      </c>
      <c r="F54" s="3">
        <f>E54/$M$8</f>
        <v>1.1138242193354984E-2</v>
      </c>
      <c r="G54" s="2">
        <v>404625655204.61914</v>
      </c>
      <c r="H54" s="3">
        <f>G54/$O$9</f>
        <v>3.8111110031517296E-3</v>
      </c>
    </row>
    <row r="55" spans="1:8" x14ac:dyDescent="0.2">
      <c r="A55" t="s">
        <v>391</v>
      </c>
      <c r="B55" t="s">
        <v>118</v>
      </c>
      <c r="C55" s="1" t="s">
        <v>267</v>
      </c>
      <c r="D55" s="1">
        <v>1</v>
      </c>
      <c r="E55" s="2">
        <v>45504560</v>
      </c>
      <c r="F55" s="3">
        <f>E55/$M$8</f>
        <v>5.6838071446415192E-3</v>
      </c>
      <c r="G55" s="2">
        <v>250842782139.46417</v>
      </c>
      <c r="H55" s="3">
        <f>G55/$O$9</f>
        <v>2.3626521817788847E-3</v>
      </c>
    </row>
    <row r="56" spans="1:8" x14ac:dyDescent="0.2">
      <c r="A56" t="s">
        <v>395</v>
      </c>
      <c r="B56" t="s">
        <v>122</v>
      </c>
      <c r="C56" s="1" t="s">
        <v>267</v>
      </c>
      <c r="D56" s="1">
        <v>1</v>
      </c>
      <c r="E56" s="2">
        <v>2825544</v>
      </c>
      <c r="F56" s="3">
        <f>E56/$M$8</f>
        <v>3.5292830377217085E-4</v>
      </c>
      <c r="G56" s="2">
        <v>19423355409.231567</v>
      </c>
      <c r="H56" s="3">
        <f>G56/$O$9</f>
        <v>1.829457983350435E-4</v>
      </c>
    </row>
    <row r="57" spans="1:8" x14ac:dyDescent="0.2">
      <c r="A57" t="s">
        <v>397</v>
      </c>
      <c r="B57" t="s">
        <v>124</v>
      </c>
      <c r="C57" s="1" t="s">
        <v>267</v>
      </c>
      <c r="D57" s="1">
        <v>1</v>
      </c>
      <c r="E57" s="2">
        <v>11337052</v>
      </c>
      <c r="F57" s="3">
        <f>E57/$M$8</f>
        <v>1.4160694479140644E-3</v>
      </c>
      <c r="G57" s="2">
        <v>50967475352.112679</v>
      </c>
      <c r="H57" s="3">
        <f>G57/$O$9</f>
        <v>4.8005533909873483E-4</v>
      </c>
    </row>
    <row r="58" spans="1:8" x14ac:dyDescent="0.2">
      <c r="A58" t="s">
        <v>399</v>
      </c>
      <c r="B58" t="s">
        <v>126</v>
      </c>
      <c r="C58" s="1" t="s">
        <v>267</v>
      </c>
      <c r="D58" s="1">
        <v>1</v>
      </c>
      <c r="E58" s="2">
        <v>19900177</v>
      </c>
      <c r="F58" s="3">
        <f>E58/$M$8</f>
        <v>2.4856578815888085E-3</v>
      </c>
      <c r="G58" s="2">
        <v>262641892078.5242</v>
      </c>
      <c r="H58" s="3">
        <f>G58/$O$9</f>
        <v>2.4737863057221832E-3</v>
      </c>
    </row>
    <row r="59" spans="1:8" x14ac:dyDescent="0.2">
      <c r="A59" t="s">
        <v>400</v>
      </c>
      <c r="B59" t="s">
        <v>127</v>
      </c>
      <c r="C59" s="1" t="s">
        <v>267</v>
      </c>
      <c r="D59" s="1">
        <v>1</v>
      </c>
      <c r="E59" s="2">
        <v>55100586</v>
      </c>
      <c r="F59" s="3">
        <f>E59/$M$8</f>
        <v>6.8824114414189359E-3</v>
      </c>
      <c r="G59" s="2">
        <v>108038588970.59505</v>
      </c>
      <c r="H59" s="3">
        <f>G59/$O$9</f>
        <v>1.0175999714664692E-3</v>
      </c>
    </row>
    <row r="60" spans="1:8" x14ac:dyDescent="0.2">
      <c r="A60" t="s">
        <v>403</v>
      </c>
      <c r="B60" t="s">
        <v>130</v>
      </c>
      <c r="C60" s="1" t="s">
        <v>267</v>
      </c>
      <c r="D60" s="1">
        <v>1</v>
      </c>
      <c r="E60" s="2">
        <v>133515</v>
      </c>
      <c r="F60" s="3">
        <f>E60/$M$8</f>
        <v>1.6676867349487884E-5</v>
      </c>
      <c r="G60" s="2">
        <v>279208903.3376435</v>
      </c>
      <c r="H60" s="3">
        <f>G60/$O$9</f>
        <v>2.6298286082475604E-6</v>
      </c>
    </row>
    <row r="61" spans="1:8" x14ac:dyDescent="0.2">
      <c r="A61" t="s">
        <v>406</v>
      </c>
      <c r="B61" t="s">
        <v>133</v>
      </c>
      <c r="C61" s="1" t="s">
        <v>267</v>
      </c>
      <c r="D61" s="1">
        <v>1</v>
      </c>
      <c r="E61" s="2">
        <v>4310108</v>
      </c>
      <c r="F61" s="3">
        <f>E61/$M$8</f>
        <v>5.3835973020234821E-4</v>
      </c>
      <c r="G61" s="2">
        <v>163704878875.8504</v>
      </c>
      <c r="H61" s="3">
        <f>G61/$O$9</f>
        <v>1.5419127708001356E-3</v>
      </c>
    </row>
    <row r="62" spans="1:8" x14ac:dyDescent="0.2">
      <c r="A62" t="s">
        <v>401</v>
      </c>
      <c r="B62" t="s">
        <v>128</v>
      </c>
      <c r="C62" s="1" t="s">
        <v>267</v>
      </c>
      <c r="D62" s="1">
        <v>1</v>
      </c>
      <c r="E62" s="2">
        <v>7100800</v>
      </c>
      <c r="F62" s="3">
        <f>E62/$M$8</f>
        <v>8.8693479890082443E-4</v>
      </c>
      <c r="G62" s="2">
        <v>13987627908.838139</v>
      </c>
      <c r="H62" s="3">
        <f>G62/$O$9</f>
        <v>1.3174746075951906E-4</v>
      </c>
    </row>
    <row r="63" spans="1:8" x14ac:dyDescent="0.2">
      <c r="A63" t="s">
        <v>407</v>
      </c>
      <c r="B63" t="s">
        <v>134</v>
      </c>
      <c r="C63" s="1" t="s">
        <v>267</v>
      </c>
      <c r="D63" s="1">
        <v>1</v>
      </c>
      <c r="E63" s="2">
        <v>7633779</v>
      </c>
      <c r="F63" s="3">
        <f>E63/$M$8</f>
        <v>9.5350724456657503E-4</v>
      </c>
      <c r="G63" s="2">
        <v>15843155731.255178</v>
      </c>
      <c r="H63" s="3">
        <f>G63/$O$9</f>
        <v>1.4922441114491078E-4</v>
      </c>
    </row>
    <row r="64" spans="1:8" x14ac:dyDescent="0.2">
      <c r="A64" t="s">
        <v>408</v>
      </c>
      <c r="B64" t="s">
        <v>135</v>
      </c>
      <c r="C64" s="1" t="s">
        <v>267</v>
      </c>
      <c r="D64" s="1">
        <v>1</v>
      </c>
      <c r="E64" s="2">
        <v>5353930</v>
      </c>
      <c r="F64" s="3">
        <f>E64/$M$8</f>
        <v>6.687396952285786E-4</v>
      </c>
    </row>
    <row r="65" spans="1:8" x14ac:dyDescent="0.2">
      <c r="A65" t="s">
        <v>414</v>
      </c>
      <c r="B65" t="s">
        <v>141</v>
      </c>
      <c r="C65" s="1" t="s">
        <v>267</v>
      </c>
      <c r="D65" s="1">
        <v>1</v>
      </c>
      <c r="E65" s="2">
        <v>2330318</v>
      </c>
      <c r="F65" s="3">
        <f>E65/$M$8</f>
        <v>2.9107144641518862E-4</v>
      </c>
      <c r="G65" s="2">
        <v>2117962450.7946885</v>
      </c>
      <c r="H65" s="3">
        <f>G65/$O$9</f>
        <v>1.9948784504047173E-5</v>
      </c>
    </row>
    <row r="66" spans="1:8" x14ac:dyDescent="0.2">
      <c r="A66" t="s">
        <v>409</v>
      </c>
      <c r="B66" t="s">
        <v>136</v>
      </c>
      <c r="C66" s="1" t="s">
        <v>267</v>
      </c>
      <c r="D66" s="1">
        <v>1</v>
      </c>
      <c r="E66" s="2">
        <v>5418377</v>
      </c>
      <c r="F66" s="3">
        <f>E66/$M$8</f>
        <v>6.7678953285036226E-4</v>
      </c>
      <c r="G66" s="2">
        <v>4240000000</v>
      </c>
      <c r="H66" s="3">
        <f>G66/$O$9</f>
        <v>3.993595177545446E-5</v>
      </c>
    </row>
    <row r="67" spans="1:8" x14ac:dyDescent="0.2">
      <c r="A67" t="s">
        <v>410</v>
      </c>
      <c r="B67" t="s">
        <v>137</v>
      </c>
      <c r="C67" s="1" t="s">
        <v>267</v>
      </c>
      <c r="D67" s="1">
        <v>1</v>
      </c>
      <c r="E67" s="2">
        <v>6888388</v>
      </c>
      <c r="F67" s="3">
        <f>E67/$M$8</f>
        <v>8.6040319760179867E-4</v>
      </c>
      <c r="G67" s="2">
        <v>45096462972.40136</v>
      </c>
      <c r="H67" s="3">
        <f>G67/$O$9</f>
        <v>4.2475711568617651E-4</v>
      </c>
    </row>
    <row r="68" spans="1:8" x14ac:dyDescent="0.2">
      <c r="A68" t="s">
        <v>423</v>
      </c>
      <c r="B68" t="s">
        <v>150</v>
      </c>
      <c r="C68" s="1" t="s">
        <v>267</v>
      </c>
      <c r="D68" s="1">
        <v>1</v>
      </c>
      <c r="E68" s="2">
        <v>30325732</v>
      </c>
      <c r="F68" s="3">
        <f>E68/$M$8</f>
        <v>3.7878755933050214E-3</v>
      </c>
      <c r="G68" s="2">
        <v>15790113246.747774</v>
      </c>
      <c r="H68" s="3">
        <f>G68/$O$9</f>
        <v>1.4872481159223673E-4</v>
      </c>
    </row>
    <row r="69" spans="1:8" x14ac:dyDescent="0.2">
      <c r="A69" t="s">
        <v>440</v>
      </c>
      <c r="B69" t="s">
        <v>167</v>
      </c>
      <c r="C69" s="1" t="s">
        <v>267</v>
      </c>
      <c r="D69" s="1">
        <v>1</v>
      </c>
      <c r="E69" s="2">
        <v>34308525</v>
      </c>
      <c r="F69" s="3">
        <f>E69/$M$8</f>
        <v>4.285351611291531E-3</v>
      </c>
      <c r="G69" s="2">
        <v>399705169318.47705</v>
      </c>
      <c r="H69" s="3">
        <f>G69/$O$9</f>
        <v>3.7647656524298486E-3</v>
      </c>
    </row>
    <row r="70" spans="1:8" x14ac:dyDescent="0.2">
      <c r="A70" t="s">
        <v>424</v>
      </c>
      <c r="B70" t="s">
        <v>151</v>
      </c>
      <c r="C70" s="1" t="s">
        <v>267</v>
      </c>
      <c r="D70" s="1">
        <v>1</v>
      </c>
      <c r="E70" s="2">
        <v>521021</v>
      </c>
      <c r="F70" s="3">
        <f>E70/$M$8</f>
        <v>6.5078815888083944E-5</v>
      </c>
      <c r="G70" s="2">
        <v>6590894301.9579</v>
      </c>
      <c r="H70" s="3">
        <f>G70/$O$9</f>
        <v>6.2078687971723655E-5</v>
      </c>
    </row>
    <row r="71" spans="1:8" x14ac:dyDescent="0.2">
      <c r="A71" t="s">
        <v>428</v>
      </c>
      <c r="B71" t="s">
        <v>155</v>
      </c>
      <c r="C71" s="1" t="s">
        <v>267</v>
      </c>
      <c r="D71" s="1">
        <v>1</v>
      </c>
      <c r="E71" s="2">
        <v>23293698</v>
      </c>
      <c r="F71" s="3">
        <f>E71/$M$8</f>
        <v>2.9095301024231828E-3</v>
      </c>
      <c r="G71" s="2">
        <v>20661794596.087261</v>
      </c>
      <c r="H71" s="3">
        <f>G71/$O$9</f>
        <v>1.9461047938294492E-4</v>
      </c>
    </row>
    <row r="72" spans="1:8" x14ac:dyDescent="0.2">
      <c r="A72" t="s">
        <v>435</v>
      </c>
      <c r="B72" t="s">
        <v>162</v>
      </c>
      <c r="C72" s="1" t="s">
        <v>267</v>
      </c>
      <c r="D72" s="1">
        <v>1</v>
      </c>
      <c r="E72" s="2">
        <v>4862989</v>
      </c>
      <c r="F72" s="3">
        <f>E72/$M$8</f>
        <v>6.0741806145390954E-4</v>
      </c>
      <c r="G72" s="2">
        <v>10651709411.459427</v>
      </c>
      <c r="H72" s="3">
        <f>G72/$O$9</f>
        <v>1.0032692296749955E-4</v>
      </c>
    </row>
    <row r="73" spans="1:8" x14ac:dyDescent="0.2">
      <c r="A73" t="s">
        <v>438</v>
      </c>
      <c r="B73" t="s">
        <v>165</v>
      </c>
      <c r="C73" s="1" t="s">
        <v>267</v>
      </c>
      <c r="D73" s="1">
        <v>1</v>
      </c>
      <c r="E73" s="2">
        <v>1261041</v>
      </c>
      <c r="F73" s="3">
        <f>E73/$M$8</f>
        <v>1.5751199100674494E-4</v>
      </c>
      <c r="G73" s="2">
        <v>14644524819.005362</v>
      </c>
      <c r="H73" s="3">
        <f>G73/$O$9</f>
        <v>1.3793467852505758E-4</v>
      </c>
    </row>
    <row r="74" spans="1:8" x14ac:dyDescent="0.2">
      <c r="A74" t="s">
        <v>425</v>
      </c>
      <c r="B74" t="s">
        <v>152</v>
      </c>
      <c r="C74" s="1" t="s">
        <v>267</v>
      </c>
      <c r="D74" s="1">
        <v>1</v>
      </c>
      <c r="E74" s="2">
        <v>128455567</v>
      </c>
      <c r="F74" s="3">
        <f>E74/$M$8</f>
        <v>1.6044912190856856E-2</v>
      </c>
      <c r="G74" s="2">
        <v>1789114434843.4629</v>
      </c>
      <c r="H74" s="3">
        <f>G74/$O$9</f>
        <v>1.6851412214782546E-2</v>
      </c>
    </row>
    <row r="75" spans="1:8" x14ac:dyDescent="0.2">
      <c r="A75" t="s">
        <v>358</v>
      </c>
      <c r="B75" t="s">
        <v>85</v>
      </c>
      <c r="C75" s="1" t="s">
        <v>267</v>
      </c>
      <c r="D75" s="1">
        <v>1</v>
      </c>
      <c r="E75" s="2">
        <v>115224</v>
      </c>
      <c r="F75" s="3">
        <f>E75/$M$8</f>
        <v>1.4392205845615788E-5</v>
      </c>
      <c r="G75" s="2">
        <v>460000000</v>
      </c>
      <c r="H75" s="3">
        <f>G75/$O$9</f>
        <v>4.3326740133747762E-6</v>
      </c>
    </row>
    <row r="76" spans="1:8" x14ac:dyDescent="0.2">
      <c r="A76" t="s">
        <v>432</v>
      </c>
      <c r="B76" t="s">
        <v>159</v>
      </c>
      <c r="C76" s="1" t="s">
        <v>267</v>
      </c>
      <c r="D76" s="1">
        <v>1</v>
      </c>
      <c r="E76" s="2">
        <v>3447157</v>
      </c>
      <c r="F76" s="3">
        <f>E76/$M$8</f>
        <v>4.3057169622782911E-4</v>
      </c>
      <c r="G76" s="2">
        <v>20325121393.907364</v>
      </c>
      <c r="H76" s="3">
        <f>G76/$O$9</f>
        <v>1.9143940278710901E-4</v>
      </c>
    </row>
    <row r="77" spans="1:8" x14ac:dyDescent="0.2">
      <c r="A77" t="s">
        <v>420</v>
      </c>
      <c r="B77" t="s">
        <v>147</v>
      </c>
      <c r="C77" s="1" t="s">
        <v>267</v>
      </c>
      <c r="D77" s="1">
        <v>1</v>
      </c>
      <c r="E77" s="2">
        <v>37840044</v>
      </c>
      <c r="F77" s="3">
        <f>E77/$M$8</f>
        <v>4.7264606545091179E-3</v>
      </c>
      <c r="G77" s="2">
        <v>144417103249.64584</v>
      </c>
      <c r="H77" s="3">
        <f>G77/$O$9</f>
        <v>1.3602439789926141E-3</v>
      </c>
    </row>
    <row r="78" spans="1:8" x14ac:dyDescent="0.2">
      <c r="A78" t="s">
        <v>434</v>
      </c>
      <c r="B78" t="s">
        <v>161</v>
      </c>
      <c r="C78" s="1" t="s">
        <v>267</v>
      </c>
      <c r="D78" s="1">
        <v>1</v>
      </c>
      <c r="E78" s="2">
        <v>33897354</v>
      </c>
      <c r="F78" s="3">
        <f>E78/$M$8</f>
        <v>4.2339937546839873E-3</v>
      </c>
      <c r="G78" s="2">
        <v>20954220983.547325</v>
      </c>
      <c r="H78" s="3">
        <f>G78/$O$9</f>
        <v>1.9736480157810422E-4</v>
      </c>
    </row>
    <row r="79" spans="1:8" x14ac:dyDescent="0.2">
      <c r="A79" t="s">
        <v>430</v>
      </c>
      <c r="B79" t="s">
        <v>157</v>
      </c>
      <c r="C79" s="1" t="s">
        <v>267</v>
      </c>
      <c r="D79" s="1">
        <v>1</v>
      </c>
      <c r="E79" s="2">
        <v>54577997</v>
      </c>
      <c r="F79" s="3">
        <f>E79/$M$8</f>
        <v>6.8171367724206844E-3</v>
      </c>
      <c r="G79" s="2">
        <v>66757619000</v>
      </c>
      <c r="H79" s="3">
        <f>G79/$O$9</f>
        <v>6.2878043703494394E-4</v>
      </c>
    </row>
    <row r="80" spans="1:8" x14ac:dyDescent="0.2">
      <c r="A80" t="s">
        <v>442</v>
      </c>
      <c r="B80" t="s">
        <v>169</v>
      </c>
      <c r="C80" s="1" t="s">
        <v>267</v>
      </c>
      <c r="D80" s="1">
        <v>1</v>
      </c>
      <c r="E80" s="2">
        <v>2604172</v>
      </c>
      <c r="F80" s="3">
        <f>E80/$M$8</f>
        <v>3.2527754184361729E-4</v>
      </c>
      <c r="G80" s="2">
        <v>12351025066.91312</v>
      </c>
      <c r="H80" s="3">
        <f>G80/$O$9</f>
        <v>1.163325333607716E-4</v>
      </c>
    </row>
    <row r="81" spans="1:8" x14ac:dyDescent="0.2">
      <c r="A81" t="s">
        <v>451</v>
      </c>
      <c r="B81" t="s">
        <v>178</v>
      </c>
      <c r="C81" s="1" t="s">
        <v>267</v>
      </c>
      <c r="D81" s="1">
        <v>1</v>
      </c>
      <c r="E81" s="2">
        <v>30896590</v>
      </c>
      <c r="F81" s="3">
        <f>E81/$M$8</f>
        <v>3.8591793654758929E-3</v>
      </c>
      <c r="G81" s="2">
        <v>40908073366.84552</v>
      </c>
      <c r="H81" s="3">
        <f>G81/$O$9</f>
        <v>3.8530727481252255E-4</v>
      </c>
    </row>
    <row r="82" spans="1:8" x14ac:dyDescent="0.2">
      <c r="A82" t="s">
        <v>447</v>
      </c>
      <c r="B82" t="s">
        <v>174</v>
      </c>
      <c r="C82" s="1" t="s">
        <v>267</v>
      </c>
      <c r="D82" s="1">
        <v>1</v>
      </c>
      <c r="E82" s="2">
        <v>7046310</v>
      </c>
      <c r="F82" s="3">
        <f>E82/$M$8</f>
        <v>8.8012865350986763E-4</v>
      </c>
      <c r="G82" s="2">
        <v>17829218219.359112</v>
      </c>
      <c r="H82" s="3">
        <f>G82/$O$9</f>
        <v>1.6793084882131592E-4</v>
      </c>
    </row>
    <row r="83" spans="1:8" x14ac:dyDescent="0.2">
      <c r="A83" t="s">
        <v>444</v>
      </c>
      <c r="B83" t="s">
        <v>171</v>
      </c>
      <c r="C83" s="1" t="s">
        <v>267</v>
      </c>
      <c r="D83" s="1">
        <v>1</v>
      </c>
      <c r="E83" s="2">
        <v>27202843</v>
      </c>
      <c r="F83" s="3">
        <f>E83/$M$8</f>
        <v>3.3978070197351988E-3</v>
      </c>
      <c r="G83" s="2">
        <v>16819170420.565317</v>
      </c>
      <c r="H83" s="3">
        <f>G83/$O$9</f>
        <v>1.5841735349501098E-4</v>
      </c>
    </row>
    <row r="84" spans="1:8" x14ac:dyDescent="0.2">
      <c r="A84" t="s">
        <v>446</v>
      </c>
      <c r="B84" t="s">
        <v>173</v>
      </c>
      <c r="C84" s="1" t="s">
        <v>267</v>
      </c>
      <c r="D84" s="1">
        <v>1</v>
      </c>
      <c r="E84" s="2">
        <v>223804632</v>
      </c>
      <c r="F84" s="3">
        <f>E84/$M$8</f>
        <v>2.7954613040219834E-2</v>
      </c>
      <c r="G84" s="2">
        <v>363846332834.61841</v>
      </c>
      <c r="H84" s="3">
        <f>G84/$O$9</f>
        <v>3.4270164155092626E-3</v>
      </c>
    </row>
    <row r="85" spans="1:8" x14ac:dyDescent="0.2">
      <c r="A85" t="s">
        <v>464</v>
      </c>
      <c r="B85" t="s">
        <v>191</v>
      </c>
      <c r="C85" s="1" t="s">
        <v>267</v>
      </c>
      <c r="D85" s="1">
        <v>1</v>
      </c>
      <c r="E85" s="2">
        <v>26160821</v>
      </c>
      <c r="F85" s="3">
        <f>E85/$M$8</f>
        <v>3.2676518860854358E-3</v>
      </c>
    </row>
    <row r="86" spans="1:8" x14ac:dyDescent="0.2">
      <c r="A86" t="s">
        <v>454</v>
      </c>
      <c r="B86" t="s">
        <v>181</v>
      </c>
      <c r="C86" s="1" t="s">
        <v>267</v>
      </c>
      <c r="D86" s="1">
        <v>1</v>
      </c>
      <c r="E86" s="2">
        <v>4644384</v>
      </c>
      <c r="F86" s="3">
        <f>E86/$M$8</f>
        <v>5.801129153135149E-4</v>
      </c>
      <c r="G86" s="2">
        <v>108810923276.98309</v>
      </c>
      <c r="H86" s="3">
        <f>G86/$O$9</f>
        <v>1.0248744775076114E-3</v>
      </c>
    </row>
    <row r="87" spans="1:8" x14ac:dyDescent="0.2">
      <c r="A87" t="s">
        <v>455</v>
      </c>
      <c r="B87" t="s">
        <v>182</v>
      </c>
      <c r="C87" s="1" t="s">
        <v>267</v>
      </c>
      <c r="D87" s="1">
        <v>1</v>
      </c>
      <c r="E87" s="2">
        <v>240485658</v>
      </c>
      <c r="F87" s="3">
        <f>E87/$M$8</f>
        <v>3.0038178616037973E-2</v>
      </c>
      <c r="G87" s="2">
        <v>337912301397.72717</v>
      </c>
      <c r="H87" s="3">
        <f>G87/$O$9</f>
        <v>3.1827474936208643E-3</v>
      </c>
    </row>
    <row r="88" spans="1:8" x14ac:dyDescent="0.2">
      <c r="A88" t="s">
        <v>460</v>
      </c>
      <c r="B88" t="s">
        <v>187</v>
      </c>
      <c r="C88" s="1" t="s">
        <v>267</v>
      </c>
      <c r="D88" s="1">
        <v>1</v>
      </c>
      <c r="E88" s="2">
        <v>18058</v>
      </c>
      <c r="F88" s="3">
        <f>E88/$M$8</f>
        <v>2.2555583312515614E-6</v>
      </c>
      <c r="G88" s="2">
        <v>281849062.5</v>
      </c>
      <c r="H88" s="3">
        <f>G88/$O$9</f>
        <v>2.6546958886691155E-6</v>
      </c>
    </row>
    <row r="89" spans="1:8" x14ac:dyDescent="0.2">
      <c r="A89" t="s">
        <v>456</v>
      </c>
      <c r="B89" t="s">
        <v>183</v>
      </c>
      <c r="C89" s="1" t="s">
        <v>267</v>
      </c>
      <c r="D89" s="1">
        <v>1</v>
      </c>
      <c r="E89" s="2">
        <v>4468087</v>
      </c>
      <c r="F89" s="3">
        <f>E89/$M$8</f>
        <v>5.5809230577067196E-4</v>
      </c>
      <c r="G89" s="2">
        <v>83318176900</v>
      </c>
      <c r="H89" s="3">
        <f>G89/$O$9</f>
        <v>7.8476195629650556E-4</v>
      </c>
    </row>
    <row r="90" spans="1:8" x14ac:dyDescent="0.2">
      <c r="A90" t="s">
        <v>461</v>
      </c>
      <c r="B90" t="s">
        <v>188</v>
      </c>
      <c r="C90" s="1" t="s">
        <v>267</v>
      </c>
      <c r="D90" s="1">
        <v>1</v>
      </c>
      <c r="E90" s="2">
        <v>10329931</v>
      </c>
      <c r="F90" s="3">
        <f>E90/$M$8</f>
        <v>1.2902736697476891E-3</v>
      </c>
      <c r="G90" s="2">
        <v>30729242919.441082</v>
      </c>
      <c r="H90" s="3">
        <f>G90/$O$9</f>
        <v>2.8943433097335482E-4</v>
      </c>
    </row>
    <row r="91" spans="1:8" x14ac:dyDescent="0.2">
      <c r="A91" t="s">
        <v>466</v>
      </c>
      <c r="B91" t="s">
        <v>193</v>
      </c>
      <c r="C91" s="1" t="s">
        <v>267</v>
      </c>
      <c r="D91" s="1">
        <v>1</v>
      </c>
      <c r="E91" s="2">
        <v>6861524</v>
      </c>
      <c r="F91" s="3">
        <f>E91/$M$8</f>
        <v>8.5704771421433925E-4</v>
      </c>
      <c r="G91" s="2">
        <v>42956263543.948166</v>
      </c>
      <c r="H91" s="3">
        <f>G91/$O$9</f>
        <v>4.0459888427944019E-4</v>
      </c>
    </row>
    <row r="92" spans="1:8" x14ac:dyDescent="0.2">
      <c r="A92" t="s">
        <v>458</v>
      </c>
      <c r="B92" t="s">
        <v>185</v>
      </c>
      <c r="C92" s="1" t="s">
        <v>267</v>
      </c>
      <c r="D92" s="1">
        <v>1</v>
      </c>
      <c r="E92" s="2">
        <v>34352719</v>
      </c>
      <c r="F92" s="3">
        <f>E92/$M$8</f>
        <v>4.2908717212090932E-3</v>
      </c>
      <c r="G92" s="2">
        <v>267603248655.25269</v>
      </c>
      <c r="H92" s="3">
        <f>G92/$O$9</f>
        <v>2.52051661161583E-3</v>
      </c>
    </row>
    <row r="93" spans="1:8" x14ac:dyDescent="0.2">
      <c r="A93" t="s">
        <v>459</v>
      </c>
      <c r="B93" t="s">
        <v>186</v>
      </c>
      <c r="C93" s="1" t="s">
        <v>267</v>
      </c>
      <c r="D93" s="1">
        <v>1</v>
      </c>
      <c r="E93" s="2">
        <v>117337368</v>
      </c>
      <c r="F93" s="3">
        <f>E93/$M$8</f>
        <v>1.4656178865850612E-2</v>
      </c>
      <c r="G93" s="2">
        <v>437146372729.94244</v>
      </c>
      <c r="H93" s="3">
        <f>G93/$O$9</f>
        <v>4.1174189764523169E-3</v>
      </c>
    </row>
    <row r="94" spans="1:8" x14ac:dyDescent="0.2">
      <c r="A94" t="s">
        <v>469</v>
      </c>
      <c r="B94" t="s">
        <v>196</v>
      </c>
      <c r="C94" s="1" t="s">
        <v>267</v>
      </c>
      <c r="D94" s="1">
        <v>1</v>
      </c>
      <c r="E94" s="2">
        <v>2716391</v>
      </c>
      <c r="F94" s="3">
        <f>E94/$M$8</f>
        <v>3.3929440419685239E-4</v>
      </c>
      <c r="G94" s="2">
        <v>213002809330.26675</v>
      </c>
      <c r="H94" s="3">
        <f>G94/$O$9</f>
        <v>2.006242906002324E-3</v>
      </c>
    </row>
    <row r="95" spans="1:8" x14ac:dyDescent="0.2">
      <c r="A95" t="s">
        <v>472</v>
      </c>
      <c r="B95" t="s">
        <v>199</v>
      </c>
      <c r="C95" s="1" t="s">
        <v>267</v>
      </c>
      <c r="D95" s="1">
        <v>1</v>
      </c>
      <c r="E95" s="2">
        <v>143826130</v>
      </c>
      <c r="F95" s="3">
        <f>E95/$M$8</f>
        <v>1.796479265550837E-2</v>
      </c>
      <c r="G95" s="2">
        <v>2021421476035.417</v>
      </c>
      <c r="H95" s="3">
        <f>G95/$O$9</f>
        <v>1.9039478911513769E-2</v>
      </c>
    </row>
    <row r="96" spans="1:8" x14ac:dyDescent="0.2">
      <c r="A96" t="s">
        <v>473</v>
      </c>
      <c r="B96" t="s">
        <v>200</v>
      </c>
      <c r="C96" s="1" t="s">
        <v>267</v>
      </c>
      <c r="D96" s="1">
        <v>1</v>
      </c>
      <c r="E96" s="2">
        <v>14094683</v>
      </c>
      <c r="F96" s="3">
        <f>E96/$M$8</f>
        <v>1.7605149887584312E-3</v>
      </c>
      <c r="G96" s="2">
        <v>14097768472.18828</v>
      </c>
      <c r="H96" s="3">
        <f>G96/$O$9</f>
        <v>1.3278485892613998E-4</v>
      </c>
    </row>
    <row r="97" spans="1:8" x14ac:dyDescent="0.2">
      <c r="A97" t="s">
        <v>474</v>
      </c>
      <c r="B97" t="s">
        <v>201</v>
      </c>
      <c r="C97" s="1" t="s">
        <v>267</v>
      </c>
      <c r="D97" s="1">
        <v>1</v>
      </c>
      <c r="E97" s="2">
        <v>36947025</v>
      </c>
      <c r="F97" s="3">
        <f>E97/$M$8</f>
        <v>4.6149169372970275E-3</v>
      </c>
      <c r="G97" s="2">
        <v>1067582933333.3334</v>
      </c>
      <c r="H97" s="3">
        <f>G97/$O$9</f>
        <v>1.0055410505164673E-2</v>
      </c>
    </row>
    <row r="98" spans="1:8" x14ac:dyDescent="0.2">
      <c r="A98" t="s">
        <v>477</v>
      </c>
      <c r="B98" t="s">
        <v>204</v>
      </c>
      <c r="C98" s="1" t="s">
        <v>267</v>
      </c>
      <c r="D98" s="1">
        <v>1</v>
      </c>
      <c r="E98" s="2">
        <v>17763163</v>
      </c>
      <c r="F98" s="3">
        <f>E98/$M$8</f>
        <v>2.2187313265051209E-3</v>
      </c>
      <c r="G98" s="2">
        <v>30848333083.705544</v>
      </c>
      <c r="H98" s="3">
        <f>G98/$O$9</f>
        <v>2.9055602414717474E-4</v>
      </c>
    </row>
    <row r="99" spans="1:8" x14ac:dyDescent="0.2">
      <c r="A99" t="s">
        <v>498</v>
      </c>
      <c r="B99" t="s">
        <v>225</v>
      </c>
      <c r="C99" s="1" t="s">
        <v>267</v>
      </c>
      <c r="D99" s="1">
        <v>1</v>
      </c>
      <c r="E99" s="2">
        <v>119773</v>
      </c>
      <c r="F99" s="3">
        <f>E99/$M$8</f>
        <v>1.4960404696477641E-5</v>
      </c>
      <c r="G99" s="2">
        <v>2141450171.1393213</v>
      </c>
      <c r="H99" s="3">
        <f>G99/$O$9</f>
        <v>2.0170011972678923E-5</v>
      </c>
    </row>
    <row r="100" spans="1:8" x14ac:dyDescent="0.2">
      <c r="A100" t="s">
        <v>483</v>
      </c>
      <c r="B100" t="s">
        <v>210</v>
      </c>
      <c r="C100" s="1" t="s">
        <v>267</v>
      </c>
      <c r="D100" s="1">
        <v>1</v>
      </c>
      <c r="E100" s="2">
        <v>8791092</v>
      </c>
      <c r="F100" s="3">
        <f>E100/$M$8</f>
        <v>1.098062952785411E-3</v>
      </c>
      <c r="G100" s="2">
        <v>6411869546.2892885</v>
      </c>
      <c r="H100" s="3">
        <f>G100/$O$9</f>
        <v>6.0392479479036343E-5</v>
      </c>
    </row>
    <row r="101" spans="1:8" x14ac:dyDescent="0.2">
      <c r="A101" t="s">
        <v>478</v>
      </c>
      <c r="B101" t="s">
        <v>205</v>
      </c>
      <c r="C101" s="1" t="s">
        <v>267</v>
      </c>
      <c r="D101" s="1">
        <v>1</v>
      </c>
      <c r="E101" s="2">
        <v>5917648</v>
      </c>
      <c r="F101" s="3">
        <f>E101/$M$8</f>
        <v>7.3915163627279537E-4</v>
      </c>
      <c r="G101" s="2">
        <v>501427500080.05853</v>
      </c>
      <c r="H101" s="3">
        <f>G101/$O$9</f>
        <v>4.7228736938877136E-3</v>
      </c>
    </row>
    <row r="102" spans="1:8" x14ac:dyDescent="0.2">
      <c r="A102" t="s">
        <v>482</v>
      </c>
      <c r="B102" t="s">
        <v>209</v>
      </c>
      <c r="C102" s="1" t="s">
        <v>267</v>
      </c>
      <c r="D102" s="1">
        <v>1</v>
      </c>
      <c r="E102" s="2">
        <v>740424</v>
      </c>
      <c r="F102" s="3">
        <f>E102/$M$8</f>
        <v>9.2483637272045967E-5</v>
      </c>
      <c r="G102" s="2">
        <v>1633319401.1941354</v>
      </c>
      <c r="H102" s="3">
        <f>G102/$O$9</f>
        <v>1.5384001141510176E-5</v>
      </c>
    </row>
    <row r="103" spans="1:8" x14ac:dyDescent="0.2">
      <c r="A103" t="s">
        <v>486</v>
      </c>
      <c r="B103" t="s">
        <v>213</v>
      </c>
      <c r="C103" s="1" t="s">
        <v>267</v>
      </c>
      <c r="D103" s="1">
        <v>1</v>
      </c>
      <c r="E103" s="2">
        <v>18143378</v>
      </c>
      <c r="F103" s="3">
        <f>E103/$M$8</f>
        <v>2.2662225830627032E-3</v>
      </c>
      <c r="G103" s="2">
        <v>10968517090.000368</v>
      </c>
      <c r="H103" s="3">
        <f>G103/$O$9</f>
        <v>1.033108890458733E-4</v>
      </c>
    </row>
    <row r="104" spans="1:8" x14ac:dyDescent="0.2">
      <c r="A104" t="s">
        <v>536</v>
      </c>
      <c r="B104" t="s">
        <v>263</v>
      </c>
      <c r="C104" s="1" t="s">
        <v>267</v>
      </c>
      <c r="D104" s="1">
        <v>1</v>
      </c>
      <c r="E104" s="2">
        <v>60414495</v>
      </c>
      <c r="F104" s="3">
        <f>E104/$M$8</f>
        <v>7.5461522608043967E-3</v>
      </c>
      <c r="G104" s="2">
        <v>380699271814.50824</v>
      </c>
      <c r="H104" s="3">
        <f>G104/$O$9</f>
        <v>3.585751830220479E-3</v>
      </c>
    </row>
    <row r="105" spans="1:8" x14ac:dyDescent="0.2">
      <c r="A105" t="s">
        <v>413</v>
      </c>
      <c r="B105" t="s">
        <v>140</v>
      </c>
      <c r="C105" s="1" t="s">
        <v>267</v>
      </c>
      <c r="D105" s="1">
        <v>1</v>
      </c>
      <c r="E105" s="2">
        <v>22037000</v>
      </c>
      <c r="F105" s="3">
        <f>E105/$M$8</f>
        <v>2.7525605795653261E-3</v>
      </c>
      <c r="G105" s="2">
        <v>84356863743.633545</v>
      </c>
      <c r="H105" s="3">
        <f>G105/$O$9</f>
        <v>7.9454519867790845E-4</v>
      </c>
    </row>
    <row r="106" spans="1:8" x14ac:dyDescent="0.2">
      <c r="A106" t="s">
        <v>404</v>
      </c>
      <c r="B106" t="s">
        <v>131</v>
      </c>
      <c r="C106" s="1" t="s">
        <v>267</v>
      </c>
      <c r="D106" s="1">
        <v>1</v>
      </c>
      <c r="E106" s="2">
        <v>47755</v>
      </c>
      <c r="F106" s="3">
        <f>E106/$M$8</f>
        <v>5.9649013240069944E-6</v>
      </c>
      <c r="G106" s="2">
        <v>1055499777.7777777</v>
      </c>
      <c r="H106" s="3">
        <f>G106/$O$9</f>
        <v>9.9416009963057141E-6</v>
      </c>
    </row>
    <row r="107" spans="1:8" x14ac:dyDescent="0.2">
      <c r="A107" t="s">
        <v>411</v>
      </c>
      <c r="B107" t="s">
        <v>138</v>
      </c>
      <c r="C107" s="1" t="s">
        <v>267</v>
      </c>
      <c r="D107" s="1">
        <v>1</v>
      </c>
      <c r="E107" s="2">
        <v>180251</v>
      </c>
      <c r="F107" s="3">
        <f>E107/$M$8</f>
        <v>2.2514489133150136E-5</v>
      </c>
      <c r="G107" s="2">
        <v>2430148148.1481481</v>
      </c>
      <c r="H107" s="3">
        <f>G107/$O$9</f>
        <v>2.2889216804635473E-5</v>
      </c>
    </row>
    <row r="108" spans="1:8" x14ac:dyDescent="0.2">
      <c r="A108" t="s">
        <v>523</v>
      </c>
      <c r="B108" t="s">
        <v>250</v>
      </c>
      <c r="C108" s="1" t="s">
        <v>267</v>
      </c>
      <c r="D108" s="1">
        <v>1</v>
      </c>
      <c r="E108" s="2">
        <v>103698</v>
      </c>
      <c r="F108" s="3">
        <f>E108/$M$8</f>
        <v>1.2952535598301274E-5</v>
      </c>
      <c r="G108" s="2">
        <v>1065962962.9629629</v>
      </c>
      <c r="H108" s="3">
        <f>G108/$O$9</f>
        <v>1.0040152236629583E-5</v>
      </c>
    </row>
    <row r="109" spans="1:8" x14ac:dyDescent="0.2">
      <c r="A109" t="s">
        <v>476</v>
      </c>
      <c r="B109" t="s">
        <v>203</v>
      </c>
      <c r="C109" s="1" t="s">
        <v>267</v>
      </c>
      <c r="D109" s="1">
        <v>1</v>
      </c>
      <c r="E109" s="2">
        <v>48109006</v>
      </c>
      <c r="F109" s="3">
        <f>E109/$M$8</f>
        <v>6.0091189108168871E-3</v>
      </c>
      <c r="G109" s="2">
        <v>109265503110.9039</v>
      </c>
      <c r="H109" s="3">
        <f>G109/$O$9</f>
        <v>1.0291560997542045E-3</v>
      </c>
    </row>
    <row r="110" spans="1:8" x14ac:dyDescent="0.2">
      <c r="A110" t="s">
        <v>492</v>
      </c>
      <c r="B110" t="s">
        <v>219</v>
      </c>
      <c r="C110" s="1" t="s">
        <v>267</v>
      </c>
      <c r="D110" s="1">
        <v>1</v>
      </c>
      <c r="E110" s="2">
        <v>623236</v>
      </c>
      <c r="F110" s="3">
        <f>E110/$M$8</f>
        <v>7.7846115413439927E-5</v>
      </c>
      <c r="G110" s="2">
        <v>3455146280.8397541</v>
      </c>
      <c r="H110" s="3">
        <f>G110/$O$9</f>
        <v>3.2543527181310673E-5</v>
      </c>
    </row>
    <row r="111" spans="1:8" x14ac:dyDescent="0.2">
      <c r="A111" t="s">
        <v>499</v>
      </c>
      <c r="B111" t="s">
        <v>226</v>
      </c>
      <c r="C111" s="1" t="s">
        <v>267</v>
      </c>
      <c r="D111" s="1">
        <v>1</v>
      </c>
      <c r="E111" s="2">
        <v>23227014</v>
      </c>
      <c r="F111" s="3">
        <f>E111/$M$8</f>
        <v>2.9012008493629776E-3</v>
      </c>
    </row>
    <row r="112" spans="1:8" x14ac:dyDescent="0.2">
      <c r="A112" t="s">
        <v>515</v>
      </c>
      <c r="B112" t="s">
        <v>242</v>
      </c>
      <c r="C112" s="1" t="s">
        <v>267</v>
      </c>
      <c r="D112" s="1">
        <v>1</v>
      </c>
      <c r="E112" s="2">
        <v>67438106</v>
      </c>
      <c r="F112" s="3">
        <f>E112/$M$8</f>
        <v>8.4234456657506871E-3</v>
      </c>
      <c r="G112" s="2">
        <v>79062403820.891983</v>
      </c>
      <c r="H112" s="3">
        <f>G112/$O$9</f>
        <v>7.4467744015156809E-4</v>
      </c>
    </row>
    <row r="113" spans="1:8" x14ac:dyDescent="0.2">
      <c r="A113" t="s">
        <v>503</v>
      </c>
      <c r="B113" t="s">
        <v>230</v>
      </c>
      <c r="C113" s="1" t="s">
        <v>267</v>
      </c>
      <c r="D113" s="1">
        <v>1</v>
      </c>
      <c r="E113" s="2">
        <v>71801279</v>
      </c>
      <c r="F113" s="3">
        <f>E113/$M$8</f>
        <v>8.9684335498376212E-3</v>
      </c>
      <c r="G113" s="2">
        <v>514968699239.00476</v>
      </c>
      <c r="H113" s="3">
        <f>G113/$O$9</f>
        <v>4.8504163062918406E-3</v>
      </c>
    </row>
    <row r="114" spans="1:8" x14ac:dyDescent="0.2">
      <c r="A114" t="s">
        <v>508</v>
      </c>
      <c r="B114" t="s">
        <v>235</v>
      </c>
      <c r="C114" s="1" t="s">
        <v>267</v>
      </c>
      <c r="D114" s="1">
        <v>1</v>
      </c>
      <c r="E114" s="2">
        <v>1360596</v>
      </c>
      <c r="F114" s="3">
        <f>E114/$M$8</f>
        <v>1.6994703972020983E-4</v>
      </c>
      <c r="G114" s="2">
        <v>2079916900.0000002</v>
      </c>
      <c r="H114" s="3">
        <f>G114/$O$9</f>
        <v>1.9590438918715271E-5</v>
      </c>
    </row>
    <row r="115" spans="1:8" x14ac:dyDescent="0.2">
      <c r="A115" t="s">
        <v>502</v>
      </c>
      <c r="B115" t="s">
        <v>229</v>
      </c>
      <c r="C115" s="1" t="s">
        <v>267</v>
      </c>
      <c r="D115" s="1">
        <v>1</v>
      </c>
      <c r="E115" s="2">
        <v>9053799</v>
      </c>
      <c r="F115" s="3">
        <f>E115/$M$8</f>
        <v>1.1308767174619035E-3</v>
      </c>
      <c r="G115" s="2">
        <v>9171261837.5710297</v>
      </c>
      <c r="H115" s="3">
        <f>G115/$O$9</f>
        <v>8.6382799638043037E-5</v>
      </c>
    </row>
    <row r="116" spans="1:8" x14ac:dyDescent="0.2">
      <c r="A116" t="s">
        <v>509</v>
      </c>
      <c r="B116" t="s">
        <v>236</v>
      </c>
      <c r="C116" s="1" t="s">
        <v>267</v>
      </c>
      <c r="D116" s="1">
        <v>1</v>
      </c>
      <c r="E116" s="2">
        <v>107773</v>
      </c>
      <c r="F116" s="3">
        <f>E116/$M$8</f>
        <v>1.346152885335998E-5</v>
      </c>
    </row>
    <row r="117" spans="1:8" x14ac:dyDescent="0.2">
      <c r="A117" t="s">
        <v>510</v>
      </c>
      <c r="B117" t="s">
        <v>237</v>
      </c>
      <c r="C117" s="1" t="s">
        <v>267</v>
      </c>
      <c r="D117" s="1">
        <v>1</v>
      </c>
      <c r="E117" s="2">
        <v>1534937</v>
      </c>
      <c r="F117" s="3">
        <f>E117/$M$8</f>
        <v>1.9172333250062453E-4</v>
      </c>
      <c r="G117" s="2">
        <v>27372285697.947723</v>
      </c>
      <c r="H117" s="3">
        <f>G117/$O$9</f>
        <v>2.5781563245688731E-4</v>
      </c>
    </row>
    <row r="118" spans="1:8" x14ac:dyDescent="0.2">
      <c r="A118" t="s">
        <v>511</v>
      </c>
      <c r="B118" t="s">
        <v>238</v>
      </c>
      <c r="C118" s="1" t="s">
        <v>267</v>
      </c>
      <c r="D118" s="1">
        <v>1</v>
      </c>
      <c r="E118" s="2">
        <v>12458223</v>
      </c>
      <c r="F118" s="3">
        <f>E118/$M$8</f>
        <v>1.5561107919060705E-3</v>
      </c>
      <c r="G118" s="2">
        <v>48529595416.653259</v>
      </c>
      <c r="H118" s="3">
        <f>G118/$O$9</f>
        <v>4.5709329769853308E-4</v>
      </c>
    </row>
    <row r="119" spans="1:8" x14ac:dyDescent="0.2">
      <c r="A119" t="s">
        <v>507</v>
      </c>
      <c r="B119" t="s">
        <v>234</v>
      </c>
      <c r="C119" s="1" t="s">
        <v>267</v>
      </c>
      <c r="D119" s="1">
        <v>1</v>
      </c>
      <c r="E119" s="2">
        <v>6516100</v>
      </c>
      <c r="F119" s="3">
        <f>E119/$M$8</f>
        <v>8.139020734449163E-4</v>
      </c>
      <c r="G119" s="2">
        <v>60628857142.85714</v>
      </c>
      <c r="H119" s="3">
        <f>G119/$O$9</f>
        <v>5.7105450826841042E-4</v>
      </c>
    </row>
    <row r="120" spans="1:8" x14ac:dyDescent="0.2">
      <c r="A120" t="s">
        <v>516</v>
      </c>
      <c r="B120" t="s">
        <v>243</v>
      </c>
      <c r="C120" s="1" t="s">
        <v>267</v>
      </c>
      <c r="D120" s="1">
        <v>1</v>
      </c>
      <c r="E120" s="2">
        <v>48582334</v>
      </c>
      <c r="F120" s="3">
        <f>E120/$M$8</f>
        <v>6.0682405695728203E-3</v>
      </c>
      <c r="G120" s="2">
        <v>48768955863.31749</v>
      </c>
      <c r="H120" s="3">
        <f>G120/$O$9</f>
        <v>4.593477994096024E-4</v>
      </c>
    </row>
    <row r="121" spans="1:8" x14ac:dyDescent="0.2">
      <c r="A121" t="s">
        <v>519</v>
      </c>
      <c r="B121" t="s">
        <v>246</v>
      </c>
      <c r="C121" s="1" t="s">
        <v>267</v>
      </c>
      <c r="D121" s="1">
        <v>1</v>
      </c>
      <c r="E121" s="2">
        <v>3423108</v>
      </c>
      <c r="F121" s="3">
        <f>E121/$M$8</f>
        <v>4.2756782413190108E-4</v>
      </c>
      <c r="G121" s="2">
        <v>77240830877.459671</v>
      </c>
      <c r="H121" s="3">
        <f>G121/$O$9</f>
        <v>7.275203059005338E-4</v>
      </c>
    </row>
    <row r="122" spans="1:8" x14ac:dyDescent="0.2">
      <c r="A122" t="s">
        <v>521</v>
      </c>
      <c r="B122" t="s">
        <v>248</v>
      </c>
      <c r="C122" s="1" t="s">
        <v>267</v>
      </c>
      <c r="D122" s="1">
        <v>1</v>
      </c>
      <c r="E122" s="2">
        <v>36412350</v>
      </c>
      <c r="F122" s="3">
        <f>E122/$M$8</f>
        <v>4.5481326505121163E-3</v>
      </c>
      <c r="G122" s="2">
        <v>101591769702.34315</v>
      </c>
      <c r="H122" s="3">
        <f>G122/$O$9</f>
        <v>9.5687830556977639E-4</v>
      </c>
    </row>
    <row r="123" spans="1:8" x14ac:dyDescent="0.2">
      <c r="A123" t="s">
        <v>527</v>
      </c>
      <c r="B123" t="s">
        <v>254</v>
      </c>
      <c r="C123" s="1" t="s">
        <v>267</v>
      </c>
      <c r="D123" s="1">
        <v>1</v>
      </c>
      <c r="E123" s="2">
        <v>98858950</v>
      </c>
      <c r="F123" s="3">
        <f>E123/$M$8</f>
        <v>1.2348107669248064E-2</v>
      </c>
      <c r="G123" s="2">
        <v>429716969043.57172</v>
      </c>
      <c r="H123" s="3">
        <f>G123/$O$9</f>
        <v>4.0474424888722969E-3</v>
      </c>
    </row>
    <row r="124" spans="1:8" x14ac:dyDescent="0.2">
      <c r="A124" t="s">
        <v>532</v>
      </c>
      <c r="B124" t="s">
        <v>259</v>
      </c>
      <c r="C124" s="1" t="s">
        <v>267</v>
      </c>
      <c r="D124" s="1">
        <v>1</v>
      </c>
      <c r="E124" s="2">
        <v>34449825</v>
      </c>
      <c r="F124" s="3">
        <f>E124/$M$8</f>
        <v>4.3030008743442415E-3</v>
      </c>
    </row>
    <row r="125" spans="1:8" x14ac:dyDescent="0.2">
      <c r="A125" t="s">
        <v>538</v>
      </c>
      <c r="B125" t="s">
        <v>265</v>
      </c>
      <c r="C125" s="1" t="s">
        <v>267</v>
      </c>
      <c r="D125" s="1">
        <v>1</v>
      </c>
      <c r="E125" s="2">
        <v>20569737</v>
      </c>
      <c r="F125" s="3">
        <f>E125/$M$8</f>
        <v>2.5692901573819635E-3</v>
      </c>
      <c r="G125" s="2">
        <v>27577956471.243988</v>
      </c>
      <c r="H125" s="3">
        <f>G125/$O$9</f>
        <v>2.5975281596725994E-4</v>
      </c>
    </row>
    <row r="126" spans="1:8" x14ac:dyDescent="0.2">
      <c r="A126" t="s">
        <v>539</v>
      </c>
      <c r="B126" t="s">
        <v>266</v>
      </c>
      <c r="C126" s="1" t="s">
        <v>267</v>
      </c>
      <c r="D126" s="1">
        <v>1</v>
      </c>
      <c r="E126" s="2">
        <v>16665409</v>
      </c>
      <c r="F126" s="3">
        <f>E126/$M$8</f>
        <v>2.0816149138146388E-3</v>
      </c>
      <c r="G126" s="2">
        <v>35231367885.85537</v>
      </c>
      <c r="H126" s="3">
        <f>G126/$O$9</f>
        <v>3.3183920020585261E-4</v>
      </c>
    </row>
    <row r="127" spans="1:8" x14ac:dyDescent="0.2">
      <c r="A127" t="s">
        <v>285</v>
      </c>
      <c r="B127" t="s">
        <v>11</v>
      </c>
      <c r="C127" s="1" t="s">
        <v>269</v>
      </c>
      <c r="D127" s="1">
        <v>2</v>
      </c>
      <c r="E127" s="2">
        <v>46654581</v>
      </c>
      <c r="F127" s="3">
        <f>E127/$M$8</f>
        <v>5.82745203597302E-3</v>
      </c>
      <c r="G127" s="2">
        <v>646075277525.12451</v>
      </c>
      <c r="H127" s="3">
        <f>G127/$O$9</f>
        <v>6.0852903600369648E-3</v>
      </c>
    </row>
    <row r="128" spans="1:8" x14ac:dyDescent="0.2">
      <c r="A128" t="s">
        <v>290</v>
      </c>
      <c r="B128" t="s">
        <v>16</v>
      </c>
      <c r="C128" s="1" t="s">
        <v>269</v>
      </c>
      <c r="D128" s="1">
        <v>2</v>
      </c>
      <c r="E128" s="2">
        <v>26638544</v>
      </c>
      <c r="F128" s="3">
        <f>E128/$M$8</f>
        <v>3.3273225081189108E-3</v>
      </c>
      <c r="G128" s="2">
        <v>1728057316695.6077</v>
      </c>
      <c r="H128" s="3">
        <f>G128/$O$9</f>
        <v>1.6276323977541751E-2</v>
      </c>
    </row>
    <row r="129" spans="1:8" x14ac:dyDescent="0.2">
      <c r="A129" t="s">
        <v>315</v>
      </c>
      <c r="B129" t="s">
        <v>41</v>
      </c>
      <c r="C129" s="1" t="s">
        <v>269</v>
      </c>
      <c r="D129" s="1">
        <v>2</v>
      </c>
      <c r="E129" s="2">
        <v>40097761</v>
      </c>
      <c r="F129" s="3">
        <f>E129/$M$8</f>
        <v>5.0084637771671244E-3</v>
      </c>
      <c r="G129" s="2">
        <v>2142470914401.3569</v>
      </c>
      <c r="H129" s="3">
        <f>G129/$O$9</f>
        <v>2.0179626207039249E-2</v>
      </c>
    </row>
    <row r="130" spans="1:8" x14ac:dyDescent="0.2">
      <c r="A130" t="s">
        <v>393</v>
      </c>
      <c r="B130" t="s">
        <v>120</v>
      </c>
      <c r="C130" s="1" t="s">
        <v>269</v>
      </c>
      <c r="D130" s="1">
        <v>2</v>
      </c>
      <c r="E130" s="2">
        <v>9756700</v>
      </c>
      <c r="F130" s="3">
        <f>E130/$M$8</f>
        <v>1.2186734948788408E-3</v>
      </c>
      <c r="G130" s="2">
        <v>513611100815.69104</v>
      </c>
      <c r="H130" s="3">
        <f>G130/$O$9</f>
        <v>4.8376292814890365E-3</v>
      </c>
    </row>
    <row r="131" spans="1:8" x14ac:dyDescent="0.2">
      <c r="A131" t="s">
        <v>398</v>
      </c>
      <c r="B131" t="s">
        <v>125</v>
      </c>
      <c r="C131" s="1" t="s">
        <v>269</v>
      </c>
      <c r="D131" s="1">
        <v>2</v>
      </c>
      <c r="E131" s="2">
        <v>124516650</v>
      </c>
      <c r="F131" s="3">
        <f>E131/$M$8</f>
        <v>1.5552916562578066E-2</v>
      </c>
      <c r="G131" s="2">
        <v>4204494802431.5547</v>
      </c>
      <c r="H131" s="3">
        <f>G131/$O$9</f>
        <v>3.960153341274894E-2</v>
      </c>
    </row>
    <row r="132" spans="1:8" x14ac:dyDescent="0.2">
      <c r="A132" t="s">
        <v>453</v>
      </c>
      <c r="B132" t="s">
        <v>180</v>
      </c>
      <c r="C132" s="1" t="s">
        <v>269</v>
      </c>
      <c r="D132" s="1">
        <v>2</v>
      </c>
      <c r="E132" s="2">
        <v>5223100</v>
      </c>
      <c r="F132" s="3">
        <f>E132/$M$8</f>
        <v>6.5239820134898826E-4</v>
      </c>
      <c r="G132" s="2">
        <v>252175506110.16776</v>
      </c>
      <c r="H132" s="3">
        <f>G132/$O$9</f>
        <v>2.3752049176807739E-3</v>
      </c>
    </row>
    <row r="133" spans="1:8" x14ac:dyDescent="0.2">
      <c r="A133" t="s">
        <v>405</v>
      </c>
      <c r="B133" t="s">
        <v>132</v>
      </c>
      <c r="C133" s="1" t="s">
        <v>269</v>
      </c>
      <c r="D133" s="1">
        <v>2</v>
      </c>
      <c r="E133" s="2">
        <v>51712619</v>
      </c>
      <c r="F133" s="3">
        <f>E133/$M$8</f>
        <v>6.4592329502872843E-3</v>
      </c>
      <c r="G133" s="2">
        <v>1712792854202.3687</v>
      </c>
      <c r="H133" s="3">
        <f>G133/$O$9</f>
        <v>1.6132550194992639E-2</v>
      </c>
    </row>
    <row r="134" spans="1:8" x14ac:dyDescent="0.2">
      <c r="A134" t="s">
        <v>360</v>
      </c>
      <c r="B134" t="s">
        <v>87</v>
      </c>
      <c r="C134" s="1" t="s">
        <v>269</v>
      </c>
      <c r="D134" s="1">
        <v>2</v>
      </c>
      <c r="E134" s="2">
        <v>68350000</v>
      </c>
      <c r="F134" s="3">
        <f>E134/$M$8</f>
        <v>8.5373469897576815E-3</v>
      </c>
      <c r="G134" s="2">
        <v>3380854520809.5371</v>
      </c>
      <c r="H134" s="3">
        <f>G134/$O$9</f>
        <v>3.1843783750678506E-2</v>
      </c>
    </row>
    <row r="135" spans="1:8" x14ac:dyDescent="0.2">
      <c r="A135" t="s">
        <v>520</v>
      </c>
      <c r="B135" t="s">
        <v>247</v>
      </c>
      <c r="C135" s="1" t="s">
        <v>269</v>
      </c>
      <c r="D135" s="1">
        <v>2</v>
      </c>
      <c r="E135" s="2">
        <v>334914895</v>
      </c>
      <c r="F135" s="3">
        <f>E135/$M$8</f>
        <v>4.1832987134649016E-2</v>
      </c>
      <c r="G135" s="2">
        <v>27720709000000</v>
      </c>
      <c r="H135" s="3">
        <f>G135/$O$9</f>
        <v>0.26109738155787887</v>
      </c>
    </row>
    <row r="136" spans="1:8" x14ac:dyDescent="0.2">
      <c r="A136" t="s">
        <v>281</v>
      </c>
      <c r="B136" t="s">
        <v>7</v>
      </c>
      <c r="C136" s="1" t="s">
        <v>270</v>
      </c>
      <c r="D136" s="1">
        <v>3</v>
      </c>
      <c r="E136" s="2">
        <v>2745972</v>
      </c>
      <c r="F136" s="3">
        <f>E136/$M$8</f>
        <v>3.4298925805645764E-4</v>
      </c>
      <c r="G136" s="2">
        <v>23547179830.441257</v>
      </c>
      <c r="H136" s="3">
        <f>G136/$O$9</f>
        <v>2.2178750899916414E-4</v>
      </c>
    </row>
    <row r="137" spans="1:8" x14ac:dyDescent="0.2">
      <c r="A137" t="s">
        <v>282</v>
      </c>
      <c r="B137" t="s">
        <v>8</v>
      </c>
      <c r="C137" s="1" t="s">
        <v>270</v>
      </c>
      <c r="D137" s="1">
        <v>3</v>
      </c>
      <c r="E137" s="2">
        <v>80088</v>
      </c>
      <c r="F137" s="3">
        <f>E137/$M$8</f>
        <v>1.0003497376967275E-5</v>
      </c>
      <c r="G137" s="2">
        <v>3785067331.762496</v>
      </c>
      <c r="H137" s="3">
        <f>G137/$O$9</f>
        <v>3.5651006233046022E-5</v>
      </c>
    </row>
    <row r="138" spans="1:8" x14ac:dyDescent="0.2">
      <c r="A138" t="s">
        <v>286</v>
      </c>
      <c r="B138" t="s">
        <v>12</v>
      </c>
      <c r="C138" s="1" t="s">
        <v>270</v>
      </c>
      <c r="D138" s="1">
        <v>3</v>
      </c>
      <c r="E138" s="2">
        <v>2777970</v>
      </c>
      <c r="F138" s="3">
        <f>E138/$M$8</f>
        <v>3.469860104921309E-4</v>
      </c>
      <c r="G138" s="2">
        <v>24085749592.335915</v>
      </c>
      <c r="H138" s="3">
        <f>G138/$O$9</f>
        <v>2.2686022032905636E-4</v>
      </c>
    </row>
    <row r="139" spans="1:8" x14ac:dyDescent="0.2">
      <c r="A139" t="s">
        <v>291</v>
      </c>
      <c r="B139" t="s">
        <v>17</v>
      </c>
      <c r="C139" s="1" t="s">
        <v>270</v>
      </c>
      <c r="D139" s="1">
        <v>3</v>
      </c>
      <c r="E139" s="2">
        <v>9132383</v>
      </c>
      <c r="F139" s="3">
        <f>E139/$M$8</f>
        <v>1.1406923557332001E-3</v>
      </c>
      <c r="G139" s="2">
        <v>511685203845.00122</v>
      </c>
      <c r="H139" s="3">
        <f>G139/$O$9</f>
        <v>4.8194895341904607E-3</v>
      </c>
    </row>
    <row r="140" spans="1:8" x14ac:dyDescent="0.2">
      <c r="A140" t="s">
        <v>294</v>
      </c>
      <c r="B140" t="s">
        <v>20</v>
      </c>
      <c r="C140" s="1" t="s">
        <v>270</v>
      </c>
      <c r="D140" s="1">
        <v>3</v>
      </c>
      <c r="E140" s="2">
        <v>11822592</v>
      </c>
      <c r="F140" s="3">
        <f>E140/$M$8</f>
        <v>1.4767164626530102E-3</v>
      </c>
      <c r="G140" s="2">
        <v>644782756682.75647</v>
      </c>
      <c r="H140" s="3">
        <f>G140/$O$9</f>
        <v>6.0731162916337613E-3</v>
      </c>
    </row>
    <row r="141" spans="1:8" x14ac:dyDescent="0.2">
      <c r="A141" t="s">
        <v>302</v>
      </c>
      <c r="B141" t="s">
        <v>28</v>
      </c>
      <c r="C141" s="1" t="s">
        <v>270</v>
      </c>
      <c r="D141" s="1">
        <v>3</v>
      </c>
      <c r="E141" s="2">
        <v>3210847</v>
      </c>
      <c r="F141" s="3">
        <f>E141/$M$8</f>
        <v>4.0105508368723459E-4</v>
      </c>
      <c r="G141" s="2">
        <v>27514782476.040558</v>
      </c>
      <c r="H141" s="3">
        <f>G141/$O$9</f>
        <v>2.5915778916869696E-4</v>
      </c>
    </row>
    <row r="142" spans="1:8" x14ac:dyDescent="0.2">
      <c r="A142" t="s">
        <v>299</v>
      </c>
      <c r="B142" t="s">
        <v>25</v>
      </c>
      <c r="C142" s="1" t="s">
        <v>270</v>
      </c>
      <c r="D142" s="1">
        <v>3</v>
      </c>
      <c r="E142" s="2">
        <v>6430370</v>
      </c>
      <c r="F142" s="3">
        <f>E142/$M$8</f>
        <v>8.0319385460904326E-4</v>
      </c>
      <c r="G142" s="2">
        <v>102407653020.6062</v>
      </c>
      <c r="H142" s="3">
        <f>G142/$O$9</f>
        <v>9.6456299350669865E-4</v>
      </c>
    </row>
    <row r="143" spans="1:8" x14ac:dyDescent="0.2">
      <c r="A143" t="s">
        <v>329</v>
      </c>
      <c r="B143" t="s">
        <v>55</v>
      </c>
      <c r="C143" s="1" t="s">
        <v>270</v>
      </c>
      <c r="D143" s="1">
        <v>3</v>
      </c>
      <c r="E143" s="2">
        <v>5212173</v>
      </c>
      <c r="F143" s="3">
        <f>E143/$M$8</f>
        <v>6.5103334998750932E-4</v>
      </c>
      <c r="G143" s="2">
        <v>86497941439.017441</v>
      </c>
      <c r="H143" s="3">
        <f>G143/$O$9</f>
        <v>8.1471170235487844E-4</v>
      </c>
    </row>
    <row r="144" spans="1:8" x14ac:dyDescent="0.2">
      <c r="A144" t="s">
        <v>381</v>
      </c>
      <c r="B144" t="s">
        <v>108</v>
      </c>
      <c r="C144" s="1" t="s">
        <v>270</v>
      </c>
      <c r="D144" s="1">
        <v>3</v>
      </c>
      <c r="E144" s="2">
        <v>3853200</v>
      </c>
      <c r="F144" s="3">
        <f>E144/$M$8</f>
        <v>4.8128903322508119E-4</v>
      </c>
      <c r="G144" s="2">
        <v>84393795502.442108</v>
      </c>
      <c r="H144" s="3">
        <f>G144/$O$9</f>
        <v>7.9489305361629561E-4</v>
      </c>
    </row>
    <row r="145" spans="1:8" x14ac:dyDescent="0.2">
      <c r="A145" t="s">
        <v>335</v>
      </c>
      <c r="B145" t="s">
        <v>61</v>
      </c>
      <c r="C145" s="1" t="s">
        <v>270</v>
      </c>
      <c r="D145" s="1">
        <v>3</v>
      </c>
      <c r="E145" s="2">
        <v>1260138</v>
      </c>
      <c r="F145" s="3">
        <f>E145/$M$8</f>
        <v>1.5739920059955033E-4</v>
      </c>
      <c r="G145" s="2">
        <v>33886930712.339432</v>
      </c>
      <c r="H145" s="3">
        <f>G145/$O$9</f>
        <v>3.1917613932692316E-4</v>
      </c>
    </row>
    <row r="146" spans="1:8" x14ac:dyDescent="0.2">
      <c r="A146" t="s">
        <v>336</v>
      </c>
      <c r="B146" t="s">
        <v>62</v>
      </c>
      <c r="C146" s="1" t="s">
        <v>270</v>
      </c>
      <c r="D146" s="1">
        <v>3</v>
      </c>
      <c r="E146" s="2">
        <v>10873689</v>
      </c>
      <c r="F146" s="3">
        <f>E146/$M$8</f>
        <v>1.3581924806395204E-3</v>
      </c>
      <c r="G146" s="2">
        <v>343207874553.7345</v>
      </c>
      <c r="H146" s="3">
        <f>G146/$O$9</f>
        <v>3.2326257375316428E-3</v>
      </c>
    </row>
    <row r="147" spans="1:8" x14ac:dyDescent="0.2">
      <c r="A147" t="s">
        <v>341</v>
      </c>
      <c r="B147" t="s">
        <v>67</v>
      </c>
      <c r="C147" s="1" t="s">
        <v>270</v>
      </c>
      <c r="D147" s="1">
        <v>3</v>
      </c>
      <c r="E147" s="2">
        <v>5946952</v>
      </c>
      <c r="F147" s="3">
        <f>E147/$M$8</f>
        <v>7.428118910816887E-4</v>
      </c>
      <c r="G147" s="2">
        <v>407091920305.4043</v>
      </c>
      <c r="H147" s="3">
        <f>G147/$O$9</f>
        <v>3.8343404003523059E-3</v>
      </c>
    </row>
    <row r="148" spans="1:8" x14ac:dyDescent="0.2">
      <c r="A148" t="s">
        <v>351</v>
      </c>
      <c r="B148" t="s">
        <v>77</v>
      </c>
      <c r="C148" s="1" t="s">
        <v>270</v>
      </c>
      <c r="D148" s="1">
        <v>3</v>
      </c>
      <c r="E148" s="2">
        <v>1366188</v>
      </c>
      <c r="F148" s="3">
        <f>E148/$M$8</f>
        <v>1.7064551586310267E-4</v>
      </c>
      <c r="G148" s="2">
        <v>41291245222.194847</v>
      </c>
      <c r="H148" s="3">
        <f>G148/$O$9</f>
        <v>3.8891631555236739E-4</v>
      </c>
    </row>
    <row r="149" spans="1:8" x14ac:dyDescent="0.2">
      <c r="A149" t="s">
        <v>353</v>
      </c>
      <c r="B149" t="s">
        <v>80</v>
      </c>
      <c r="C149" s="1" t="s">
        <v>270</v>
      </c>
      <c r="D149" s="1">
        <v>3</v>
      </c>
      <c r="E149" s="2">
        <v>5584264</v>
      </c>
      <c r="F149" s="3">
        <f>E149/$M$8</f>
        <v>6.9750986759930047E-4</v>
      </c>
      <c r="G149" s="2">
        <v>295532341254.90717</v>
      </c>
      <c r="H149" s="3">
        <f>G149/$O$9</f>
        <v>2.7835767284063971E-3</v>
      </c>
    </row>
    <row r="150" spans="1:8" x14ac:dyDescent="0.2">
      <c r="A150" t="s">
        <v>356</v>
      </c>
      <c r="B150" t="s">
        <v>83</v>
      </c>
      <c r="C150" s="1" t="s">
        <v>270</v>
      </c>
      <c r="D150" s="1">
        <v>3</v>
      </c>
      <c r="E150" s="2">
        <v>68170228</v>
      </c>
      <c r="F150" s="3">
        <f>E150/$M$8</f>
        <v>8.5148923307519359E-3</v>
      </c>
      <c r="G150" s="2">
        <v>3051831611384.7598</v>
      </c>
      <c r="H150" s="3">
        <f>G150/$O$9</f>
        <v>2.8744764164874821E-2</v>
      </c>
    </row>
    <row r="151" spans="1:8" x14ac:dyDescent="0.2">
      <c r="A151" t="s">
        <v>362</v>
      </c>
      <c r="B151" t="s">
        <v>89</v>
      </c>
      <c r="C151" s="1" t="s">
        <v>270</v>
      </c>
      <c r="D151" s="1">
        <v>3</v>
      </c>
      <c r="E151" s="2">
        <v>3760365</v>
      </c>
      <c r="F151" s="3">
        <f>E151/$M$8</f>
        <v>4.696933549837622E-4</v>
      </c>
      <c r="G151" s="2">
        <v>30777833585.444084</v>
      </c>
      <c r="H151" s="3">
        <f>G151/$O$9</f>
        <v>2.8989199948614567E-4</v>
      </c>
    </row>
    <row r="152" spans="1:8" x14ac:dyDescent="0.2">
      <c r="A152" t="s">
        <v>338</v>
      </c>
      <c r="B152" t="s">
        <v>64</v>
      </c>
      <c r="C152" s="1" t="s">
        <v>270</v>
      </c>
      <c r="D152" s="1">
        <v>3</v>
      </c>
      <c r="E152" s="2">
        <v>84482267</v>
      </c>
      <c r="F152" s="3">
        <f>E152/$M$8</f>
        <v>1.0552369098176367E-2</v>
      </c>
      <c r="G152" s="2">
        <v>4525703903627.5312</v>
      </c>
      <c r="H152" s="3">
        <f>G152/$O$9</f>
        <v>4.2626955859729976E-2</v>
      </c>
    </row>
    <row r="153" spans="1:8" x14ac:dyDescent="0.2">
      <c r="A153" t="s">
        <v>371</v>
      </c>
      <c r="B153" t="s">
        <v>98</v>
      </c>
      <c r="C153" s="1" t="s">
        <v>270</v>
      </c>
      <c r="D153" s="1">
        <v>3</v>
      </c>
      <c r="E153" s="2">
        <v>10361295</v>
      </c>
      <c r="F153" s="3">
        <f>E153/$M$8</f>
        <v>1.2941912315763177E-3</v>
      </c>
      <c r="G153" s="2">
        <v>243498333237.80234</v>
      </c>
      <c r="H153" s="3">
        <f>G153/$O$9</f>
        <v>2.2934758711293428E-3</v>
      </c>
    </row>
    <row r="154" spans="1:8" x14ac:dyDescent="0.2">
      <c r="A154" t="s">
        <v>383</v>
      </c>
      <c r="B154" t="s">
        <v>110</v>
      </c>
      <c r="C154" s="1" t="s">
        <v>270</v>
      </c>
      <c r="D154" s="1">
        <v>3</v>
      </c>
      <c r="E154" s="2">
        <v>9589872</v>
      </c>
      <c r="F154" s="3">
        <f>E154/$M$8</f>
        <v>1.1978356232825382E-3</v>
      </c>
      <c r="G154" s="2">
        <v>212388906458.72394</v>
      </c>
      <c r="H154" s="3">
        <f>G154/$O$9</f>
        <v>2.0004606429191293E-3</v>
      </c>
    </row>
    <row r="155" spans="1:8" x14ac:dyDescent="0.2">
      <c r="A155" t="s">
        <v>392</v>
      </c>
      <c r="B155" t="s">
        <v>119</v>
      </c>
      <c r="C155" s="1" t="s">
        <v>270</v>
      </c>
      <c r="D155" s="1">
        <v>3</v>
      </c>
      <c r="E155" s="2">
        <v>393600</v>
      </c>
      <c r="F155" s="3">
        <f>E155/$M$8</f>
        <v>4.9163127654259305E-5</v>
      </c>
      <c r="G155" s="2">
        <v>31325116556.380741</v>
      </c>
      <c r="H155" s="3">
        <f>G155/$O$9</f>
        <v>2.9504677928210172E-4</v>
      </c>
    </row>
    <row r="156" spans="1:8" x14ac:dyDescent="0.2">
      <c r="A156" t="s">
        <v>389</v>
      </c>
      <c r="B156" t="s">
        <v>116</v>
      </c>
      <c r="C156" s="1" t="s">
        <v>270</v>
      </c>
      <c r="D156" s="1">
        <v>3</v>
      </c>
      <c r="E156" s="2">
        <v>5262382</v>
      </c>
      <c r="F156" s="3">
        <f>E156/$M$8</f>
        <v>6.5730477142143394E-4</v>
      </c>
      <c r="G156" s="2">
        <v>551394889339.77832</v>
      </c>
      <c r="H156" s="3">
        <f>G156/$O$9</f>
        <v>5.1935093655437348E-3</v>
      </c>
    </row>
    <row r="157" spans="1:8" x14ac:dyDescent="0.2">
      <c r="A157" t="s">
        <v>394</v>
      </c>
      <c r="B157" t="s">
        <v>121</v>
      </c>
      <c r="C157" s="1" t="s">
        <v>270</v>
      </c>
      <c r="D157" s="1">
        <v>3</v>
      </c>
      <c r="E157" s="2">
        <v>58761146</v>
      </c>
      <c r="F157" s="3">
        <f>E157/$M$8</f>
        <v>7.3396385211091679E-3</v>
      </c>
      <c r="G157" s="2">
        <v>2300941152991.8052</v>
      </c>
      <c r="H157" s="3">
        <f>G157/$O$9</f>
        <v>2.1672234651896063E-2</v>
      </c>
    </row>
    <row r="158" spans="1:8" x14ac:dyDescent="0.2">
      <c r="A158" t="s">
        <v>417</v>
      </c>
      <c r="B158" t="s">
        <v>144</v>
      </c>
      <c r="C158" s="1" t="s">
        <v>270</v>
      </c>
      <c r="D158" s="1">
        <v>3</v>
      </c>
      <c r="E158" s="2">
        <v>1881750</v>
      </c>
      <c r="F158" s="3">
        <f>E158/$M$8</f>
        <v>2.3504246814888834E-4</v>
      </c>
      <c r="G158" s="2">
        <v>42247850064.512512</v>
      </c>
      <c r="H158" s="3">
        <f>G158/$O$9</f>
        <v>3.9792643933797225E-4</v>
      </c>
    </row>
    <row r="159" spans="1:8" x14ac:dyDescent="0.2">
      <c r="A159" t="s">
        <v>412</v>
      </c>
      <c r="B159" t="s">
        <v>139</v>
      </c>
      <c r="C159" s="1" t="s">
        <v>270</v>
      </c>
      <c r="D159" s="1">
        <v>3</v>
      </c>
      <c r="E159" s="2">
        <v>39584</v>
      </c>
      <c r="F159" s="3">
        <f>E159/$M$8</f>
        <v>4.944291781164127E-6</v>
      </c>
    </row>
    <row r="160" spans="1:8" x14ac:dyDescent="0.2">
      <c r="A160" t="s">
        <v>415</v>
      </c>
      <c r="B160" t="s">
        <v>142</v>
      </c>
      <c r="C160" s="1" t="s">
        <v>270</v>
      </c>
      <c r="D160" s="1">
        <v>3</v>
      </c>
      <c r="E160" s="2">
        <v>2871897</v>
      </c>
      <c r="F160" s="3">
        <f>E160/$M$8</f>
        <v>3.5871808643517364E-4</v>
      </c>
      <c r="G160" s="2">
        <v>79789877416.168076</v>
      </c>
      <c r="H160" s="3">
        <f>G160/$O$9</f>
        <v>7.5152940958997903E-4</v>
      </c>
    </row>
    <row r="161" spans="1:8" x14ac:dyDescent="0.2">
      <c r="A161" t="s">
        <v>416</v>
      </c>
      <c r="B161" t="s">
        <v>143</v>
      </c>
      <c r="C161" s="1" t="s">
        <v>270</v>
      </c>
      <c r="D161" s="1">
        <v>3</v>
      </c>
      <c r="E161" s="2">
        <v>668606</v>
      </c>
      <c r="F161" s="3">
        <f>E161/$M$8</f>
        <v>8.3513115163627276E-5</v>
      </c>
      <c r="G161" s="2">
        <v>85755006123.597595</v>
      </c>
      <c r="H161" s="3">
        <f>G161/$O$9</f>
        <v>8.0771410119240457E-4</v>
      </c>
    </row>
    <row r="162" spans="1:8" x14ac:dyDescent="0.2">
      <c r="A162" t="s">
        <v>429</v>
      </c>
      <c r="B162" t="s">
        <v>156</v>
      </c>
      <c r="C162" s="1" t="s">
        <v>270</v>
      </c>
      <c r="D162" s="1">
        <v>3</v>
      </c>
      <c r="E162" s="2">
        <v>553214</v>
      </c>
      <c r="F162" s="3">
        <f>E162/$M$8</f>
        <v>6.9099925056207847E-5</v>
      </c>
      <c r="G162" s="2">
        <v>22328640241.555298</v>
      </c>
      <c r="H162" s="3">
        <f>G162/$O$9</f>
        <v>2.1031025940995853E-4</v>
      </c>
    </row>
    <row r="163" spans="1:8" x14ac:dyDescent="0.2">
      <c r="A163" t="s">
        <v>422</v>
      </c>
      <c r="B163" t="s">
        <v>149</v>
      </c>
      <c r="C163" s="1" t="s">
        <v>270</v>
      </c>
      <c r="D163" s="1">
        <v>3</v>
      </c>
      <c r="E163" s="2">
        <v>2486891</v>
      </c>
      <c r="F163" s="3">
        <f>E163/$M$8</f>
        <v>3.1062840369722709E-4</v>
      </c>
      <c r="G163" s="2">
        <v>16539436547.294973</v>
      </c>
      <c r="H163" s="3">
        <f>G163/$O$9</f>
        <v>1.5578258027027384E-4</v>
      </c>
    </row>
    <row r="164" spans="1:8" x14ac:dyDescent="0.2">
      <c r="A164" t="s">
        <v>421</v>
      </c>
      <c r="B164" t="s">
        <v>148</v>
      </c>
      <c r="C164" s="1" t="s">
        <v>270</v>
      </c>
      <c r="D164" s="1">
        <v>3</v>
      </c>
      <c r="E164" s="2">
        <v>36297</v>
      </c>
      <c r="F164" s="3">
        <f>E164/$M$8</f>
        <v>4.5337247064701473E-6</v>
      </c>
      <c r="G164" s="2">
        <v>9995350547.121664</v>
      </c>
      <c r="H164" s="3">
        <f>G164/$O$9</f>
        <v>9.4144772978446494E-5</v>
      </c>
    </row>
    <row r="165" spans="1:8" x14ac:dyDescent="0.2">
      <c r="A165" t="s">
        <v>431</v>
      </c>
      <c r="B165" t="s">
        <v>158</v>
      </c>
      <c r="C165" s="1" t="s">
        <v>270</v>
      </c>
      <c r="D165" s="1">
        <v>3</v>
      </c>
      <c r="E165" s="2">
        <v>616177</v>
      </c>
      <c r="F165" s="3">
        <f>E165/$M$8</f>
        <v>7.6964401698725949E-5</v>
      </c>
      <c r="G165" s="2">
        <v>7530593375.2203388</v>
      </c>
      <c r="H165" s="3">
        <f>G165/$O$9</f>
        <v>7.0929578743716103E-5</v>
      </c>
    </row>
    <row r="166" spans="1:8" x14ac:dyDescent="0.2">
      <c r="A166" t="s">
        <v>449</v>
      </c>
      <c r="B166" t="s">
        <v>176</v>
      </c>
      <c r="C166" s="1" t="s">
        <v>270</v>
      </c>
      <c r="D166" s="1">
        <v>3</v>
      </c>
      <c r="E166" s="2">
        <v>17879488</v>
      </c>
      <c r="F166" s="3">
        <f>E166/$M$8</f>
        <v>2.233261054209343E-3</v>
      </c>
      <c r="G166" s="2">
        <v>1154361305398.0596</v>
      </c>
      <c r="H166" s="3">
        <f>G166/$O$9</f>
        <v>1.0872763543355557E-2</v>
      </c>
    </row>
    <row r="167" spans="1:8" x14ac:dyDescent="0.2">
      <c r="A167" t="s">
        <v>427</v>
      </c>
      <c r="B167" t="s">
        <v>154</v>
      </c>
      <c r="C167" s="1" t="s">
        <v>270</v>
      </c>
      <c r="D167" s="1">
        <v>3</v>
      </c>
      <c r="E167" s="2">
        <v>1811980</v>
      </c>
      <c r="F167" s="3">
        <f>E167/$M$8</f>
        <v>2.2632775418436173E-4</v>
      </c>
      <c r="G167" s="2">
        <v>15763621848.115004</v>
      </c>
      <c r="H167" s="3">
        <f>G167/$O$9</f>
        <v>1.4847529290868422E-4</v>
      </c>
    </row>
    <row r="168" spans="1:8" x14ac:dyDescent="0.2">
      <c r="A168" t="s">
        <v>450</v>
      </c>
      <c r="B168" t="s">
        <v>177</v>
      </c>
      <c r="C168" s="1" t="s">
        <v>270</v>
      </c>
      <c r="D168" s="1">
        <v>3</v>
      </c>
      <c r="E168" s="2">
        <v>5519594</v>
      </c>
      <c r="F168" s="3">
        <f>E168/$M$8</f>
        <v>6.8943217586809897E-4</v>
      </c>
      <c r="G168" s="2">
        <v>485310823603.66199</v>
      </c>
      <c r="H168" s="3">
        <f>G168/$O$9</f>
        <v>4.5710730300806439E-3</v>
      </c>
    </row>
    <row r="169" spans="1:8" x14ac:dyDescent="0.2">
      <c r="A169" t="s">
        <v>462</v>
      </c>
      <c r="B169" t="s">
        <v>189</v>
      </c>
      <c r="C169" s="1" t="s">
        <v>270</v>
      </c>
      <c r="D169" s="1">
        <v>3</v>
      </c>
      <c r="E169" s="2">
        <v>36685849</v>
      </c>
      <c r="F169" s="3">
        <f>E169/$M$8</f>
        <v>4.582294404196852E-3</v>
      </c>
      <c r="G169" s="2">
        <v>809200697797.08826</v>
      </c>
      <c r="H169" s="3">
        <f>G169/$O$9</f>
        <v>7.621745293369956E-3</v>
      </c>
    </row>
    <row r="170" spans="1:8" x14ac:dyDescent="0.2">
      <c r="A170" t="s">
        <v>465</v>
      </c>
      <c r="B170" t="s">
        <v>192</v>
      </c>
      <c r="C170" s="1" t="s">
        <v>270</v>
      </c>
      <c r="D170" s="1">
        <v>3</v>
      </c>
      <c r="E170" s="2">
        <v>10525347</v>
      </c>
      <c r="F170" s="3">
        <f>E170/$M$8</f>
        <v>1.3146823632275793E-3</v>
      </c>
      <c r="G170" s="2">
        <v>289114289663.54236</v>
      </c>
      <c r="H170" s="3">
        <f>G170/$O$9</f>
        <v>2.7231260211316036E-3</v>
      </c>
    </row>
    <row r="171" spans="1:8" x14ac:dyDescent="0.2">
      <c r="A171" t="s">
        <v>471</v>
      </c>
      <c r="B171" t="s">
        <v>198</v>
      </c>
      <c r="C171" s="1" t="s">
        <v>270</v>
      </c>
      <c r="D171" s="1">
        <v>3</v>
      </c>
      <c r="E171" s="2">
        <v>19056116</v>
      </c>
      <c r="F171" s="3">
        <f>E171/$M$8</f>
        <v>2.380229328003997E-3</v>
      </c>
      <c r="G171" s="2">
        <v>350775856415.18921</v>
      </c>
      <c r="H171" s="3">
        <f>G171/$O$9</f>
        <v>3.3039074730638524E-3</v>
      </c>
    </row>
    <row r="172" spans="1:8" x14ac:dyDescent="0.2">
      <c r="A172" t="s">
        <v>485</v>
      </c>
      <c r="B172" t="s">
        <v>212</v>
      </c>
      <c r="C172" s="1" t="s">
        <v>270</v>
      </c>
      <c r="D172" s="1">
        <v>3</v>
      </c>
      <c r="E172" s="2">
        <v>33642</v>
      </c>
      <c r="F172" s="3">
        <f>E172/$M$8</f>
        <v>4.2020984261803646E-6</v>
      </c>
    </row>
    <row r="173" spans="1:8" x14ac:dyDescent="0.2">
      <c r="A173" t="s">
        <v>488</v>
      </c>
      <c r="B173" t="s">
        <v>215</v>
      </c>
      <c r="C173" s="1" t="s">
        <v>270</v>
      </c>
      <c r="D173" s="1">
        <v>3</v>
      </c>
      <c r="E173" s="2">
        <v>6618026</v>
      </c>
      <c r="F173" s="3">
        <f>E173/$M$8</f>
        <v>8.266332750437172E-4</v>
      </c>
      <c r="G173" s="2">
        <v>81342660752.373199</v>
      </c>
      <c r="H173" s="3">
        <f>G173/$O$9</f>
        <v>7.6615485308819059E-4</v>
      </c>
    </row>
    <row r="174" spans="1:8" x14ac:dyDescent="0.2">
      <c r="A174" t="s">
        <v>493</v>
      </c>
      <c r="B174" t="s">
        <v>220</v>
      </c>
      <c r="C174" s="1" t="s">
        <v>270</v>
      </c>
      <c r="D174" s="1">
        <v>3</v>
      </c>
      <c r="E174" s="2">
        <v>5426740</v>
      </c>
      <c r="F174" s="3">
        <f>E174/$M$8</f>
        <v>6.77834124406695E-4</v>
      </c>
      <c r="G174" s="2">
        <v>132908336234.29451</v>
      </c>
      <c r="H174" s="3">
        <f>G174/$O$9</f>
        <v>1.2518445533982717E-3</v>
      </c>
    </row>
    <row r="175" spans="1:8" x14ac:dyDescent="0.2">
      <c r="A175" t="s">
        <v>494</v>
      </c>
      <c r="B175" t="s">
        <v>221</v>
      </c>
      <c r="C175" s="1" t="s">
        <v>270</v>
      </c>
      <c r="D175" s="1">
        <v>3</v>
      </c>
      <c r="E175" s="2">
        <v>2120937</v>
      </c>
      <c r="F175" s="3">
        <f>E175/$M$8</f>
        <v>2.6491843617287034E-4</v>
      </c>
      <c r="G175" s="2">
        <v>69148468417.320831</v>
      </c>
      <c r="H175" s="3">
        <f>G175/$O$9</f>
        <v>6.5129950473128784E-4</v>
      </c>
    </row>
    <row r="176" spans="1:8" x14ac:dyDescent="0.2">
      <c r="A176" t="s">
        <v>350</v>
      </c>
      <c r="B176" t="s">
        <v>76</v>
      </c>
      <c r="C176" s="1" t="s">
        <v>270</v>
      </c>
      <c r="D176" s="1">
        <v>3</v>
      </c>
      <c r="E176" s="2">
        <v>48373336</v>
      </c>
      <c r="F176" s="3">
        <f>E176/$M$8</f>
        <v>6.0421353984511615E-3</v>
      </c>
      <c r="G176" s="2">
        <v>1620090734956.8914</v>
      </c>
      <c r="H176" s="3">
        <f>G176/$O$9</f>
        <v>1.5259402231862968E-2</v>
      </c>
    </row>
    <row r="177" spans="1:8" x14ac:dyDescent="0.2">
      <c r="A177" t="s">
        <v>495</v>
      </c>
      <c r="B177" t="s">
        <v>222</v>
      </c>
      <c r="C177" s="1" t="s">
        <v>270</v>
      </c>
      <c r="D177" s="1">
        <v>3</v>
      </c>
      <c r="E177" s="2">
        <v>10536632</v>
      </c>
      <c r="F177" s="3">
        <f>E177/$M$8</f>
        <v>1.3160919310517111E-3</v>
      </c>
      <c r="G177" s="2">
        <v>584960475767.32019</v>
      </c>
      <c r="H177" s="3">
        <f>G177/$O$9</f>
        <v>5.5096588091487252E-3</v>
      </c>
    </row>
    <row r="178" spans="1:8" x14ac:dyDescent="0.2">
      <c r="A178" t="s">
        <v>317</v>
      </c>
      <c r="B178" t="s">
        <v>43</v>
      </c>
      <c r="C178" s="1" t="s">
        <v>270</v>
      </c>
      <c r="D178" s="1">
        <v>3</v>
      </c>
      <c r="E178" s="2">
        <v>8849852</v>
      </c>
      <c r="F178" s="3">
        <f>E178/$M$8</f>
        <v>1.105402448163877E-3</v>
      </c>
      <c r="G178" s="2">
        <v>884940402230.40881</v>
      </c>
      <c r="H178" s="3">
        <f>G178/$O$9</f>
        <v>8.3351267046285083E-3</v>
      </c>
    </row>
    <row r="179" spans="1:8" x14ac:dyDescent="0.2">
      <c r="A179" t="s">
        <v>512</v>
      </c>
      <c r="B179" t="s">
        <v>239</v>
      </c>
      <c r="C179" s="1" t="s">
        <v>270</v>
      </c>
      <c r="D179" s="1">
        <v>3</v>
      </c>
      <c r="E179" s="2">
        <v>85326000</v>
      </c>
      <c r="F179" s="3">
        <f>E179/$M$8</f>
        <v>1.0657756682488135E-2</v>
      </c>
      <c r="G179" s="2">
        <v>1118252964260.7729</v>
      </c>
      <c r="H179" s="3">
        <f>G179/$O$9</f>
        <v>1.0532664257895572E-2</v>
      </c>
    </row>
    <row r="180" spans="1:8" x14ac:dyDescent="0.2">
      <c r="A180" t="s">
        <v>517</v>
      </c>
      <c r="B180" t="s">
        <v>244</v>
      </c>
      <c r="C180" s="1" t="s">
        <v>270</v>
      </c>
      <c r="D180" s="1">
        <v>3</v>
      </c>
      <c r="E180" s="2">
        <v>37000000</v>
      </c>
      <c r="F180" s="3">
        <f>E180/$M$8</f>
        <v>4.6215338496127904E-3</v>
      </c>
      <c r="G180" s="2">
        <v>178757021965.00839</v>
      </c>
      <c r="H180" s="3">
        <f>G180/$O$9</f>
        <v>1.6836867473392521E-3</v>
      </c>
    </row>
    <row r="181" spans="1:8" x14ac:dyDescent="0.2">
      <c r="A181" t="s">
        <v>284</v>
      </c>
      <c r="B181" t="s">
        <v>10</v>
      </c>
      <c r="C181" s="1" t="s">
        <v>270</v>
      </c>
      <c r="D181" s="1">
        <v>3</v>
      </c>
      <c r="E181" s="2">
        <v>9516871</v>
      </c>
      <c r="F181" s="3">
        <f>E181/$M$8</f>
        <v>1.1887173369972521E-3</v>
      </c>
      <c r="G181" s="2">
        <v>514130432653.08105</v>
      </c>
      <c r="H181" s="3">
        <f>G181/$O$9</f>
        <v>4.8425207935676841E-3</v>
      </c>
    </row>
    <row r="182" spans="1:8" x14ac:dyDescent="0.2">
      <c r="A182" t="s">
        <v>277</v>
      </c>
      <c r="B182" t="s">
        <v>3</v>
      </c>
      <c r="D182" s="1">
        <v>4</v>
      </c>
      <c r="E182" s="2">
        <v>42239854</v>
      </c>
      <c r="F182" s="3">
        <f>E182/$M$8</f>
        <v>5.2760247314514114E-3</v>
      </c>
      <c r="G182" s="2">
        <v>17233051620.111732</v>
      </c>
      <c r="H182" s="3">
        <f>G182/$O$9</f>
        <v>1.6231564114261782E-4</v>
      </c>
    </row>
    <row r="183" spans="1:8" x14ac:dyDescent="0.2">
      <c r="A183" t="s">
        <v>280</v>
      </c>
      <c r="B183" t="s">
        <v>6</v>
      </c>
      <c r="D183" s="1">
        <v>4</v>
      </c>
      <c r="F183" s="3"/>
    </row>
    <row r="184" spans="1:8" x14ac:dyDescent="0.2">
      <c r="A184" t="s">
        <v>287</v>
      </c>
      <c r="B184" t="s">
        <v>13</v>
      </c>
      <c r="D184" s="1">
        <v>4</v>
      </c>
      <c r="E184" s="2">
        <v>43914</v>
      </c>
      <c r="F184" s="3">
        <f>E184/$M$8</f>
        <v>5.4851361478890832E-6</v>
      </c>
    </row>
    <row r="185" spans="1:8" x14ac:dyDescent="0.2">
      <c r="A185" t="s">
        <v>279</v>
      </c>
      <c r="B185" t="s">
        <v>5</v>
      </c>
      <c r="D185" s="1">
        <v>4</v>
      </c>
      <c r="F185" s="3"/>
    </row>
    <row r="186" spans="1:8" x14ac:dyDescent="0.2">
      <c r="A186" t="s">
        <v>276</v>
      </c>
      <c r="B186" t="s">
        <v>2</v>
      </c>
      <c r="D186" s="1">
        <v>4</v>
      </c>
      <c r="E186" s="2">
        <v>106277</v>
      </c>
      <c r="F186" s="3">
        <f>E186/$M$8</f>
        <v>1.3274668998251311E-5</v>
      </c>
      <c r="G186" s="2">
        <v>3648573136.1515474</v>
      </c>
      <c r="H186" s="3">
        <f>G186/$O$9</f>
        <v>3.4365386984567648E-5</v>
      </c>
    </row>
    <row r="187" spans="1:8" x14ac:dyDescent="0.2">
      <c r="A187" t="s">
        <v>306</v>
      </c>
      <c r="B187" t="s">
        <v>32</v>
      </c>
      <c r="D187" s="1">
        <v>4</v>
      </c>
      <c r="E187" s="2">
        <v>63489</v>
      </c>
      <c r="F187" s="3">
        <f>E187/$M$8</f>
        <v>7.9301773669747691E-6</v>
      </c>
      <c r="G187" s="2">
        <v>8141700000</v>
      </c>
      <c r="H187" s="3">
        <f>G187/$O$9</f>
        <v>7.66855043797683E-5</v>
      </c>
    </row>
    <row r="188" spans="1:8" x14ac:dyDescent="0.2">
      <c r="A188" t="s">
        <v>296</v>
      </c>
      <c r="B188" t="s">
        <v>22</v>
      </c>
      <c r="D188" s="1">
        <v>4</v>
      </c>
      <c r="F188" s="3"/>
    </row>
    <row r="189" spans="1:8" x14ac:dyDescent="0.2">
      <c r="A189" t="s">
        <v>312</v>
      </c>
      <c r="B189" t="s">
        <v>38</v>
      </c>
      <c r="D189" s="1">
        <v>4</v>
      </c>
      <c r="F189" s="3"/>
    </row>
    <row r="190" spans="1:8" x14ac:dyDescent="0.2">
      <c r="A190" t="s">
        <v>334</v>
      </c>
      <c r="B190" t="s">
        <v>60</v>
      </c>
      <c r="D190" s="1">
        <v>4</v>
      </c>
      <c r="E190" s="2">
        <v>69310</v>
      </c>
      <c r="F190" s="3">
        <f>E190/$M$8</f>
        <v>8.6572570572070941E-6</v>
      </c>
      <c r="G190" s="2">
        <v>7139428557.7142305</v>
      </c>
      <c r="H190" s="3">
        <f>G190/$O$9</f>
        <v>6.7245253439900452E-5</v>
      </c>
    </row>
    <row r="191" spans="1:8" x14ac:dyDescent="0.2">
      <c r="A191" t="s">
        <v>318</v>
      </c>
      <c r="B191" t="s">
        <v>44</v>
      </c>
      <c r="D191" s="1">
        <v>4</v>
      </c>
      <c r="E191" s="2">
        <v>175346</v>
      </c>
      <c r="F191" s="3">
        <f>E191/$M$8</f>
        <v>2.1901823632275794E-5</v>
      </c>
      <c r="G191" s="2">
        <v>12507927144.134245</v>
      </c>
      <c r="H191" s="3">
        <f>G191/$O$9</f>
        <v>1.1781037151864222E-4</v>
      </c>
    </row>
    <row r="192" spans="1:8" x14ac:dyDescent="0.2">
      <c r="A192" t="s">
        <v>333</v>
      </c>
      <c r="B192" t="s">
        <v>59</v>
      </c>
      <c r="D192" s="1">
        <v>4</v>
      </c>
      <c r="F192" s="3"/>
    </row>
    <row r="193" spans="1:8" x14ac:dyDescent="0.2">
      <c r="A193" t="s">
        <v>316</v>
      </c>
      <c r="B193" t="s">
        <v>42</v>
      </c>
      <c r="D193" s="1">
        <v>4</v>
      </c>
      <c r="F193" s="3"/>
    </row>
    <row r="194" spans="1:8" x14ac:dyDescent="0.2">
      <c r="A194" t="s">
        <v>327</v>
      </c>
      <c r="B194" t="s">
        <v>53</v>
      </c>
      <c r="D194" s="1">
        <v>4</v>
      </c>
      <c r="E194" s="2">
        <v>852075</v>
      </c>
      <c r="F194" s="3">
        <f>E194/$M$8</f>
        <v>1.0642955283537347E-4</v>
      </c>
      <c r="G194" s="2">
        <v>1352380971.2405515</v>
      </c>
      <c r="H194" s="3">
        <f>G194/$O$9</f>
        <v>1.2737882370166257E-5</v>
      </c>
    </row>
    <row r="195" spans="1:8" x14ac:dyDescent="0.2">
      <c r="A195" t="s">
        <v>325</v>
      </c>
      <c r="B195" t="s">
        <v>51</v>
      </c>
      <c r="D195" s="1">
        <v>4</v>
      </c>
      <c r="F195" s="3"/>
    </row>
    <row r="196" spans="1:8" x14ac:dyDescent="0.2">
      <c r="A196" t="s">
        <v>332</v>
      </c>
      <c r="B196" t="s">
        <v>58</v>
      </c>
      <c r="D196" s="1">
        <v>4</v>
      </c>
      <c r="E196" s="2">
        <v>147862</v>
      </c>
      <c r="F196" s="3">
        <f>E196/$M$8</f>
        <v>1.8468898326255309E-5</v>
      </c>
      <c r="G196" s="2">
        <v>3281419347.3705306</v>
      </c>
      <c r="H196" s="3">
        <f>G196/$O$9</f>
        <v>3.0907218115951123E-5</v>
      </c>
    </row>
    <row r="197" spans="1:8" x14ac:dyDescent="0.2">
      <c r="A197" t="s">
        <v>330</v>
      </c>
      <c r="B197" t="s">
        <v>56</v>
      </c>
      <c r="D197" s="1">
        <v>4</v>
      </c>
      <c r="F197" s="3"/>
    </row>
    <row r="198" spans="1:8" x14ac:dyDescent="0.2">
      <c r="A198" t="s">
        <v>340</v>
      </c>
      <c r="B198" t="s">
        <v>66</v>
      </c>
      <c r="D198" s="1">
        <v>4</v>
      </c>
      <c r="E198" s="2">
        <v>73040</v>
      </c>
      <c r="F198" s="3">
        <f>E198/$M$8</f>
        <v>9.1231576317761679E-6</v>
      </c>
      <c r="G198" s="2">
        <v>653992592.5925926</v>
      </c>
      <c r="H198" s="3">
        <f>G198/$O$9</f>
        <v>6.1598624149250501E-6</v>
      </c>
    </row>
    <row r="199" spans="1:8" x14ac:dyDescent="0.2">
      <c r="A199" t="s">
        <v>288</v>
      </c>
      <c r="B199" t="s">
        <v>14</v>
      </c>
      <c r="D199" s="1">
        <v>4</v>
      </c>
      <c r="F199" s="3"/>
    </row>
    <row r="200" spans="1:8" x14ac:dyDescent="0.2">
      <c r="A200" t="s">
        <v>283</v>
      </c>
      <c r="B200" t="s">
        <v>9</v>
      </c>
      <c r="D200" s="1">
        <v>4</v>
      </c>
      <c r="F200" s="3"/>
    </row>
    <row r="201" spans="1:8" x14ac:dyDescent="0.2">
      <c r="A201" t="s">
        <v>303</v>
      </c>
      <c r="B201" t="s">
        <v>29</v>
      </c>
      <c r="D201" s="1">
        <v>4</v>
      </c>
      <c r="F201" s="3"/>
    </row>
    <row r="202" spans="1:8" x14ac:dyDescent="0.2">
      <c r="A202" t="s">
        <v>337</v>
      </c>
      <c r="B202" t="s">
        <v>63</v>
      </c>
      <c r="D202" s="1">
        <v>4</v>
      </c>
      <c r="F202" s="3"/>
    </row>
    <row r="203" spans="1:8" x14ac:dyDescent="0.2">
      <c r="A203" t="s">
        <v>388</v>
      </c>
      <c r="B203" t="s">
        <v>115</v>
      </c>
      <c r="D203" s="1">
        <v>5</v>
      </c>
      <c r="F203" s="3"/>
    </row>
    <row r="204" spans="1:8" x14ac:dyDescent="0.2">
      <c r="A204" t="s">
        <v>330</v>
      </c>
      <c r="B204" t="s">
        <v>79</v>
      </c>
      <c r="D204" s="1">
        <v>5</v>
      </c>
      <c r="F204" s="3"/>
    </row>
    <row r="205" spans="1:8" x14ac:dyDescent="0.2">
      <c r="A205" t="s">
        <v>361</v>
      </c>
      <c r="B205" t="s">
        <v>88</v>
      </c>
      <c r="D205" s="1">
        <v>5</v>
      </c>
      <c r="F205" s="3"/>
    </row>
    <row r="206" spans="1:8" x14ac:dyDescent="0.2">
      <c r="A206" t="s">
        <v>346</v>
      </c>
      <c r="B206" t="s">
        <v>72</v>
      </c>
      <c r="D206" s="1">
        <v>5</v>
      </c>
      <c r="F206" s="3"/>
    </row>
    <row r="207" spans="1:8" x14ac:dyDescent="0.2">
      <c r="A207" t="s">
        <v>355</v>
      </c>
      <c r="B207" t="s">
        <v>82</v>
      </c>
      <c r="D207" s="1">
        <v>5</v>
      </c>
      <c r="F207" s="3"/>
    </row>
    <row r="208" spans="1:8" x14ac:dyDescent="0.2">
      <c r="A208" t="s">
        <v>357</v>
      </c>
      <c r="B208" t="s">
        <v>84</v>
      </c>
      <c r="D208" s="1">
        <v>5</v>
      </c>
      <c r="E208" s="2">
        <v>53270</v>
      </c>
      <c r="F208" s="3">
        <f>E208/$M$8</f>
        <v>6.6537596802398204E-6</v>
      </c>
      <c r="G208" s="2">
        <v>3907323961.3396373</v>
      </c>
      <c r="H208" s="3">
        <f>G208/$O$9</f>
        <v>3.6802523889419209E-5</v>
      </c>
    </row>
    <row r="209" spans="1:8" x14ac:dyDescent="0.2">
      <c r="A209" t="s">
        <v>375</v>
      </c>
      <c r="B209" t="s">
        <v>102</v>
      </c>
      <c r="D209" s="1">
        <v>5</v>
      </c>
      <c r="F209" s="3"/>
    </row>
    <row r="210" spans="1:8" x14ac:dyDescent="0.2">
      <c r="A210" t="s">
        <v>365</v>
      </c>
      <c r="B210" t="s">
        <v>92</v>
      </c>
      <c r="D210" s="1">
        <v>5</v>
      </c>
      <c r="E210" s="2">
        <v>32688</v>
      </c>
      <c r="F210" s="3">
        <f>E210/$M$8</f>
        <v>4.0829377966525108E-6</v>
      </c>
    </row>
    <row r="211" spans="1:8" x14ac:dyDescent="0.2">
      <c r="A211" t="s">
        <v>373</v>
      </c>
      <c r="B211" t="s">
        <v>100</v>
      </c>
      <c r="D211" s="1">
        <v>5</v>
      </c>
      <c r="E211" s="2">
        <v>56865</v>
      </c>
      <c r="F211" s="3">
        <f>E211/$M$8</f>
        <v>7.1027979015738198E-6</v>
      </c>
    </row>
    <row r="212" spans="1:8" x14ac:dyDescent="0.2">
      <c r="A212" t="s">
        <v>367</v>
      </c>
      <c r="B212" t="s">
        <v>94</v>
      </c>
      <c r="D212" s="1">
        <v>5</v>
      </c>
      <c r="F212" s="3"/>
    </row>
    <row r="213" spans="1:8" x14ac:dyDescent="0.2">
      <c r="A213" t="s">
        <v>376</v>
      </c>
      <c r="B213" t="s">
        <v>103</v>
      </c>
      <c r="D213" s="1">
        <v>5</v>
      </c>
      <c r="E213" s="2">
        <v>172952</v>
      </c>
      <c r="F213" s="3"/>
    </row>
    <row r="214" spans="1:8" x14ac:dyDescent="0.2">
      <c r="A214" t="s">
        <v>363</v>
      </c>
      <c r="B214" t="s">
        <v>90</v>
      </c>
      <c r="D214" s="1">
        <v>5</v>
      </c>
      <c r="F214" s="3"/>
    </row>
    <row r="215" spans="1:8" x14ac:dyDescent="0.2">
      <c r="A215" t="s">
        <v>379</v>
      </c>
      <c r="B215" t="s">
        <v>106</v>
      </c>
      <c r="D215" s="1">
        <v>5</v>
      </c>
      <c r="F215" s="3"/>
    </row>
    <row r="216" spans="1:8" x14ac:dyDescent="0.2">
      <c r="A216" t="s">
        <v>378</v>
      </c>
      <c r="B216" t="s">
        <v>105</v>
      </c>
      <c r="D216" s="1">
        <v>5</v>
      </c>
      <c r="E216" s="2">
        <v>7536100</v>
      </c>
      <c r="F216" s="3">
        <f>E216/$M$8</f>
        <v>9.4130652010991753E-4</v>
      </c>
      <c r="G216" s="2">
        <v>380812234827.83179</v>
      </c>
      <c r="H216" s="3">
        <f>G216/$O$9</f>
        <v>3.5868158126385213E-3</v>
      </c>
    </row>
    <row r="217" spans="1:8" x14ac:dyDescent="0.2">
      <c r="A217" t="s">
        <v>384</v>
      </c>
      <c r="B217" t="s">
        <v>111</v>
      </c>
      <c r="D217" s="1">
        <v>5</v>
      </c>
      <c r="F217" s="3"/>
    </row>
    <row r="218" spans="1:8" x14ac:dyDescent="0.2">
      <c r="A218" t="s">
        <v>386</v>
      </c>
      <c r="B218" t="s">
        <v>113</v>
      </c>
      <c r="D218" s="1">
        <v>5</v>
      </c>
      <c r="E218" s="2">
        <v>84710</v>
      </c>
      <c r="F218" s="3">
        <f>E218/$M$8</f>
        <v>1.0580814389208094E-5</v>
      </c>
    </row>
    <row r="219" spans="1:8" x14ac:dyDescent="0.2">
      <c r="A219" t="s">
        <v>396</v>
      </c>
      <c r="B219" t="s">
        <v>123</v>
      </c>
      <c r="D219" s="1">
        <v>5</v>
      </c>
      <c r="F219" s="3"/>
    </row>
    <row r="220" spans="1:8" x14ac:dyDescent="0.2">
      <c r="A220" t="s">
        <v>349</v>
      </c>
      <c r="B220" t="s">
        <v>75</v>
      </c>
      <c r="D220" s="1">
        <v>5</v>
      </c>
      <c r="F220" s="3"/>
    </row>
    <row r="221" spans="1:8" x14ac:dyDescent="0.2">
      <c r="A221" t="s">
        <v>344</v>
      </c>
      <c r="B221" t="s">
        <v>70</v>
      </c>
      <c r="D221" s="1">
        <v>5</v>
      </c>
      <c r="F221" s="3"/>
    </row>
    <row r="222" spans="1:8" x14ac:dyDescent="0.2">
      <c r="A222" t="s">
        <v>468</v>
      </c>
      <c r="B222" t="s">
        <v>195</v>
      </c>
      <c r="D222" s="1">
        <v>6</v>
      </c>
      <c r="E222" s="2">
        <v>308872</v>
      </c>
      <c r="F222" s="3">
        <f>E222/$M$8</f>
        <v>3.8580064951286537E-5</v>
      </c>
    </row>
    <row r="223" spans="1:8" x14ac:dyDescent="0.2">
      <c r="A223" t="s">
        <v>439</v>
      </c>
      <c r="B223" t="s">
        <v>166</v>
      </c>
      <c r="D223" s="1">
        <v>6</v>
      </c>
      <c r="E223" s="2">
        <v>20931751</v>
      </c>
      <c r="F223" s="3">
        <f>E223/$M$8</f>
        <v>2.6145079940044966E-3</v>
      </c>
      <c r="G223" s="2">
        <v>12712150082.079203</v>
      </c>
      <c r="H223" s="3">
        <f>G223/$O$9</f>
        <v>1.1973391807553172E-4</v>
      </c>
    </row>
    <row r="224" spans="1:8" x14ac:dyDescent="0.2">
      <c r="A224" t="s">
        <v>426</v>
      </c>
      <c r="B224" t="s">
        <v>153</v>
      </c>
      <c r="D224" s="1">
        <v>6</v>
      </c>
      <c r="E224" s="2">
        <v>41996</v>
      </c>
      <c r="F224" s="3">
        <f>E224/$M$8</f>
        <v>5.2455658256307772E-6</v>
      </c>
      <c r="G224" s="2">
        <v>259300000</v>
      </c>
      <c r="H224" s="3">
        <f>G224/$O$9</f>
        <v>2.4423095036262599E-6</v>
      </c>
    </row>
    <row r="225" spans="1:8" x14ac:dyDescent="0.2">
      <c r="A225" t="s">
        <v>437</v>
      </c>
      <c r="B225" t="s">
        <v>164</v>
      </c>
      <c r="D225" s="1">
        <v>6</v>
      </c>
      <c r="F225" s="3">
        <f>E225/$M$8</f>
        <v>0</v>
      </c>
    </row>
    <row r="226" spans="1:8" x14ac:dyDescent="0.2">
      <c r="A226" t="s">
        <v>441</v>
      </c>
      <c r="B226" t="s">
        <v>168</v>
      </c>
      <c r="D226" s="1">
        <v>6</v>
      </c>
      <c r="F226" s="3"/>
    </row>
    <row r="227" spans="1:8" x14ac:dyDescent="0.2">
      <c r="A227" t="s">
        <v>436</v>
      </c>
      <c r="B227" t="s">
        <v>163</v>
      </c>
      <c r="D227" s="1">
        <v>6</v>
      </c>
      <c r="F227" s="3">
        <f>E227/$M$8</f>
        <v>0</v>
      </c>
    </row>
    <row r="228" spans="1:8" x14ac:dyDescent="0.2">
      <c r="A228" t="s">
        <v>452</v>
      </c>
      <c r="B228" t="s">
        <v>179</v>
      </c>
      <c r="D228" s="1">
        <v>6</v>
      </c>
      <c r="E228" s="2">
        <v>12780</v>
      </c>
      <c r="F228" s="3">
        <f>E228/$M$8</f>
        <v>1.5963027729203097E-6</v>
      </c>
      <c r="G228" s="2">
        <v>154170289.32186124</v>
      </c>
      <c r="H228" s="3">
        <f>G228/$O$9</f>
        <v>1.452107839520215E-6</v>
      </c>
    </row>
    <row r="229" spans="1:8" x14ac:dyDescent="0.2">
      <c r="A229" t="s">
        <v>443</v>
      </c>
      <c r="B229" t="s">
        <v>170</v>
      </c>
      <c r="D229" s="1">
        <v>6</v>
      </c>
      <c r="E229" s="2">
        <v>267940</v>
      </c>
      <c r="F229" s="3">
        <f>E229/$M$8</f>
        <v>3.346739945041219E-5</v>
      </c>
    </row>
    <row r="230" spans="1:8" x14ac:dyDescent="0.2">
      <c r="A230" t="s">
        <v>448</v>
      </c>
      <c r="B230" t="s">
        <v>175</v>
      </c>
      <c r="D230" s="1">
        <v>6</v>
      </c>
      <c r="F230" s="3"/>
    </row>
    <row r="231" spans="1:8" x14ac:dyDescent="0.2">
      <c r="A231" t="s">
        <v>445</v>
      </c>
      <c r="B231" t="s">
        <v>172</v>
      </c>
      <c r="D231" s="1">
        <v>6</v>
      </c>
      <c r="F231" s="3"/>
    </row>
    <row r="232" spans="1:8" x14ac:dyDescent="0.2">
      <c r="A232" t="s">
        <v>433</v>
      </c>
      <c r="B232" t="s">
        <v>160</v>
      </c>
      <c r="D232" s="1">
        <v>6</v>
      </c>
      <c r="E232" s="2">
        <v>49796</v>
      </c>
      <c r="F232" s="3">
        <f>E232/$M$8</f>
        <v>6.2198351236572567E-6</v>
      </c>
    </row>
    <row r="233" spans="1:8" x14ac:dyDescent="0.2">
      <c r="A233" t="s">
        <v>467</v>
      </c>
      <c r="B233" t="s">
        <v>194</v>
      </c>
      <c r="D233" s="1">
        <v>6</v>
      </c>
      <c r="E233" s="2">
        <v>5165775</v>
      </c>
      <c r="F233" s="3">
        <f>E233/$M$8</f>
        <v>6.452379465400949E-4</v>
      </c>
      <c r="G233" s="2">
        <v>17420800000</v>
      </c>
      <c r="H233" s="3">
        <f>G233/$O$9</f>
        <v>1.6408401620043327E-4</v>
      </c>
    </row>
    <row r="234" spans="1:8" x14ac:dyDescent="0.2">
      <c r="A234" t="s">
        <v>457</v>
      </c>
      <c r="B234" t="s">
        <v>184</v>
      </c>
      <c r="D234" s="1">
        <v>6</v>
      </c>
      <c r="F234" s="3"/>
    </row>
    <row r="235" spans="1:8" x14ac:dyDescent="0.2">
      <c r="A235" t="s">
        <v>463</v>
      </c>
      <c r="B235" t="s">
        <v>190</v>
      </c>
      <c r="D235" s="1">
        <v>6</v>
      </c>
      <c r="E235" s="2">
        <v>3205691</v>
      </c>
      <c r="F235" s="3">
        <f>E235/$M$8</f>
        <v>4.0041106669997501E-4</v>
      </c>
      <c r="G235" s="2">
        <v>117902300000</v>
      </c>
      <c r="H235" s="3">
        <f>G235/$O$9</f>
        <v>1.1105048507111237E-3</v>
      </c>
    </row>
    <row r="236" spans="1:8" x14ac:dyDescent="0.2">
      <c r="A236" t="s">
        <v>470</v>
      </c>
      <c r="B236" t="s">
        <v>197</v>
      </c>
      <c r="D236" s="1">
        <v>6</v>
      </c>
      <c r="F236" s="3"/>
    </row>
    <row r="237" spans="1:8" x14ac:dyDescent="0.2">
      <c r="A237" t="s">
        <v>480</v>
      </c>
      <c r="B237" t="s">
        <v>207</v>
      </c>
      <c r="D237" s="1">
        <v>6</v>
      </c>
      <c r="F237" s="3"/>
    </row>
    <row r="238" spans="1:8" x14ac:dyDescent="0.2">
      <c r="A238" t="s">
        <v>475</v>
      </c>
      <c r="B238" t="s">
        <v>202</v>
      </c>
      <c r="D238" s="1">
        <v>6</v>
      </c>
      <c r="F238" s="3"/>
    </row>
    <row r="239" spans="1:8" x14ac:dyDescent="0.2">
      <c r="A239" t="s">
        <v>479</v>
      </c>
      <c r="B239" t="s">
        <v>206</v>
      </c>
      <c r="D239" s="1">
        <v>6</v>
      </c>
      <c r="F239" s="3"/>
    </row>
    <row r="240" spans="1:8" x14ac:dyDescent="0.2">
      <c r="A240" t="s">
        <v>419</v>
      </c>
      <c r="B240" t="s">
        <v>146</v>
      </c>
      <c r="D240" s="1">
        <v>6</v>
      </c>
      <c r="E240" s="2">
        <v>32077</v>
      </c>
      <c r="F240" s="3">
        <f>E240/$M$8</f>
        <v>4.0066200349737698E-6</v>
      </c>
    </row>
    <row r="241" spans="1:8" x14ac:dyDescent="0.2">
      <c r="A241" t="s">
        <v>525</v>
      </c>
      <c r="B241" t="s">
        <v>252</v>
      </c>
      <c r="D241" s="1">
        <v>7</v>
      </c>
      <c r="E241" s="2">
        <v>31538</v>
      </c>
      <c r="F241" s="3">
        <f>E241/$M$8</f>
        <v>3.9392955283537349E-6</v>
      </c>
    </row>
    <row r="242" spans="1:8" x14ac:dyDescent="0.2">
      <c r="A242" t="s">
        <v>531</v>
      </c>
      <c r="B242" t="s">
        <v>258</v>
      </c>
      <c r="D242" s="1">
        <v>7</v>
      </c>
      <c r="E242" s="2">
        <v>1756374</v>
      </c>
      <c r="F242" s="3">
        <f>E242/$M$8</f>
        <v>2.1938221333999501E-4</v>
      </c>
      <c r="G242" s="2">
        <v>10468219225.48691</v>
      </c>
      <c r="H242" s="3">
        <f>G242/$O$9</f>
        <v>9.859865522734209E-5</v>
      </c>
    </row>
    <row r="243" spans="1:8" x14ac:dyDescent="0.2">
      <c r="A243" t="s">
        <v>533</v>
      </c>
      <c r="B243" t="s">
        <v>260</v>
      </c>
      <c r="D243" s="1">
        <v>7</v>
      </c>
      <c r="F243" s="3"/>
    </row>
    <row r="244" spans="1:8" x14ac:dyDescent="0.2">
      <c r="A244" t="s">
        <v>530</v>
      </c>
      <c r="B244" t="s">
        <v>257</v>
      </c>
      <c r="D244" s="1">
        <v>7</v>
      </c>
      <c r="E244" s="2">
        <v>225681</v>
      </c>
      <c r="F244" s="3">
        <f>E244/$M$8</f>
        <v>2.8188983262553086E-5</v>
      </c>
      <c r="G244" s="2">
        <v>938189443.83039284</v>
      </c>
      <c r="H244" s="3">
        <f>G244/$O$9</f>
        <v>8.8366717889271243E-6</v>
      </c>
    </row>
    <row r="245" spans="1:8" x14ac:dyDescent="0.2">
      <c r="A245" t="s">
        <v>490</v>
      </c>
      <c r="B245" t="s">
        <v>217</v>
      </c>
      <c r="D245" s="1">
        <v>7</v>
      </c>
      <c r="E245" s="2">
        <v>231856</v>
      </c>
      <c r="F245" s="3">
        <f>E245/$M$8</f>
        <v>2.8960279790157382E-5</v>
      </c>
      <c r="G245" s="2">
        <v>678976264.83543599</v>
      </c>
      <c r="H245" s="3">
        <f>G245/$O$9</f>
        <v>6.3951800398929636E-6</v>
      </c>
    </row>
    <row r="246" spans="1:8" x14ac:dyDescent="0.2">
      <c r="A246" t="s">
        <v>497</v>
      </c>
      <c r="B246" t="s">
        <v>224</v>
      </c>
      <c r="D246" s="1">
        <v>7</v>
      </c>
      <c r="E246" s="2">
        <v>41163</v>
      </c>
      <c r="F246" s="3">
        <f>E246/$M$8</f>
        <v>5.141518860854359E-6</v>
      </c>
      <c r="G246" s="2">
        <v>1627776949.2737429</v>
      </c>
      <c r="H246" s="3">
        <f>G246/$O$9</f>
        <v>1.533179758193221E-5</v>
      </c>
    </row>
    <row r="247" spans="1:8" x14ac:dyDescent="0.2">
      <c r="A247" t="s">
        <v>534</v>
      </c>
      <c r="B247" t="s">
        <v>261</v>
      </c>
      <c r="D247" s="1">
        <v>7</v>
      </c>
      <c r="F247" s="3"/>
    </row>
    <row r="248" spans="1:8" x14ac:dyDescent="0.2">
      <c r="A248" t="s">
        <v>491</v>
      </c>
      <c r="B248" t="s">
        <v>218</v>
      </c>
      <c r="D248" s="1">
        <v>7</v>
      </c>
      <c r="F248" s="3"/>
    </row>
    <row r="249" spans="1:8" x14ac:dyDescent="0.2">
      <c r="A249" t="s">
        <v>487</v>
      </c>
      <c r="B249" t="s">
        <v>214</v>
      </c>
      <c r="D249" s="1">
        <v>7</v>
      </c>
      <c r="F249" s="3"/>
    </row>
    <row r="250" spans="1:8" x14ac:dyDescent="0.2">
      <c r="A250" t="s">
        <v>481</v>
      </c>
      <c r="B250" t="s">
        <v>208</v>
      </c>
      <c r="D250" s="1">
        <v>7</v>
      </c>
      <c r="F250" s="3"/>
    </row>
    <row r="251" spans="1:8" x14ac:dyDescent="0.2">
      <c r="A251" t="s">
        <v>514</v>
      </c>
      <c r="B251" t="s">
        <v>241</v>
      </c>
      <c r="D251" s="1">
        <v>7</v>
      </c>
      <c r="F251" s="3"/>
    </row>
    <row r="252" spans="1:8" x14ac:dyDescent="0.2">
      <c r="A252" t="s">
        <v>504</v>
      </c>
      <c r="B252" t="s">
        <v>231</v>
      </c>
      <c r="D252" s="1">
        <v>7</v>
      </c>
      <c r="F252" s="3"/>
    </row>
    <row r="253" spans="1:8" x14ac:dyDescent="0.2">
      <c r="A253" t="s">
        <v>506</v>
      </c>
      <c r="B253" t="s">
        <v>233</v>
      </c>
      <c r="D253" s="1">
        <v>7</v>
      </c>
      <c r="F253" s="3"/>
    </row>
    <row r="254" spans="1:8" x14ac:dyDescent="0.2">
      <c r="A254" t="s">
        <v>500</v>
      </c>
      <c r="B254" t="s">
        <v>227</v>
      </c>
      <c r="D254" s="1">
        <v>7</v>
      </c>
      <c r="E254" s="2">
        <v>46062</v>
      </c>
      <c r="F254" s="3">
        <f>E254/$M$8</f>
        <v>5.7534349238071449E-6</v>
      </c>
      <c r="G254" s="2">
        <v>1402054390.94734</v>
      </c>
      <c r="H254" s="3">
        <f>G254/$O$9</f>
        <v>1.3205749184772911E-5</v>
      </c>
    </row>
    <row r="255" spans="1:8" x14ac:dyDescent="0.2">
      <c r="A255" t="s">
        <v>513</v>
      </c>
      <c r="B255" t="s">
        <v>240</v>
      </c>
      <c r="D255" s="1">
        <v>7</v>
      </c>
      <c r="E255" s="2">
        <v>11396</v>
      </c>
      <c r="F255" s="3">
        <f>E255/$M$8</f>
        <v>1.4234324256807394E-6</v>
      </c>
      <c r="G255" s="2">
        <v>62280311.585217156</v>
      </c>
      <c r="H255" s="3">
        <f>G255/$O$9</f>
        <v>5.8660932076120517E-7</v>
      </c>
    </row>
    <row r="256" spans="1:8" x14ac:dyDescent="0.2">
      <c r="A256" t="s">
        <v>518</v>
      </c>
      <c r="B256" t="s">
        <v>245</v>
      </c>
      <c r="D256" s="1">
        <v>7</v>
      </c>
      <c r="F256" s="3"/>
    </row>
    <row r="257" spans="1:8" x14ac:dyDescent="0.2">
      <c r="A257" t="s">
        <v>526</v>
      </c>
      <c r="B257" t="s">
        <v>253</v>
      </c>
      <c r="D257" s="1">
        <v>7</v>
      </c>
      <c r="E257" s="2">
        <v>104917</v>
      </c>
      <c r="F257" s="3">
        <f>E257/$M$8</f>
        <v>1.3104796402697977E-5</v>
      </c>
    </row>
    <row r="258" spans="1:8" x14ac:dyDescent="0.2">
      <c r="A258" t="s">
        <v>528</v>
      </c>
      <c r="B258" t="s">
        <v>255</v>
      </c>
      <c r="D258" s="1">
        <v>7</v>
      </c>
      <c r="E258" s="2">
        <v>334506</v>
      </c>
      <c r="F258" s="3">
        <f>E258/$M$8</f>
        <v>4.178191356482638E-5</v>
      </c>
      <c r="G258" s="2">
        <v>1126313359.2192256</v>
      </c>
      <c r="H258" s="3">
        <f>G258/$O$9</f>
        <v>1.0608583961752149E-5</v>
      </c>
    </row>
    <row r="259" spans="1:8" x14ac:dyDescent="0.2">
      <c r="A259" t="s">
        <v>522</v>
      </c>
      <c r="B259" t="s">
        <v>249</v>
      </c>
      <c r="D259" s="1">
        <v>7</v>
      </c>
      <c r="F259" s="3"/>
    </row>
    <row r="260" spans="1:8" x14ac:dyDescent="0.2">
      <c r="A260" t="s">
        <v>524</v>
      </c>
      <c r="B260" t="s">
        <v>251</v>
      </c>
      <c r="D260" s="1">
        <v>7</v>
      </c>
      <c r="E260" s="2">
        <v>28838499</v>
      </c>
      <c r="F260" s="3">
        <f>E260/$M$8</f>
        <v>3.6021107919060706E-3</v>
      </c>
    </row>
    <row r="261" spans="1:8" x14ac:dyDescent="0.2">
      <c r="A261" t="s">
        <v>529</v>
      </c>
      <c r="B261" t="s">
        <v>256</v>
      </c>
      <c r="D261" s="1">
        <v>7</v>
      </c>
      <c r="F261" s="3"/>
    </row>
    <row r="262" spans="1:8" x14ac:dyDescent="0.2">
      <c r="A262" t="s">
        <v>535</v>
      </c>
      <c r="B262" t="s">
        <v>262</v>
      </c>
      <c r="D262" s="1">
        <v>7</v>
      </c>
      <c r="F262" s="3"/>
    </row>
    <row r="263" spans="1:8" x14ac:dyDescent="0.2">
      <c r="A263" t="s">
        <v>537</v>
      </c>
      <c r="B263" t="s">
        <v>264</v>
      </c>
      <c r="D263" s="1">
        <v>7</v>
      </c>
      <c r="F263" s="3"/>
    </row>
    <row r="264" spans="1:8" x14ac:dyDescent="0.2">
      <c r="A264" t="s">
        <v>418</v>
      </c>
      <c r="B264" t="s">
        <v>145</v>
      </c>
      <c r="E264" s="2">
        <v>704149</v>
      </c>
      <c r="F264" s="3">
        <f>E264/$M$8</f>
        <v>8.7952660504621538E-5</v>
      </c>
      <c r="G264" s="2">
        <v>45803067940.407196</v>
      </c>
      <c r="H264" s="3">
        <f>G264/$O$9</f>
        <v>4.314125265179165E-4</v>
      </c>
    </row>
    <row r="265" spans="1:8" x14ac:dyDescent="0.2">
      <c r="A265" t="s">
        <v>489</v>
      </c>
      <c r="B265" t="s">
        <v>216</v>
      </c>
      <c r="E265" s="2">
        <v>11088796</v>
      </c>
      <c r="F265" s="3">
        <f>E265/$M$8</f>
        <v>1.3850607044716462E-3</v>
      </c>
    </row>
    <row r="266" spans="1:8" x14ac:dyDescent="0.2">
      <c r="A266" t="s">
        <v>505</v>
      </c>
      <c r="B266" t="s">
        <v>232</v>
      </c>
      <c r="E266" s="2">
        <v>10143543</v>
      </c>
      <c r="F266" s="3">
        <f>E266/$M$8</f>
        <v>1.2669926305271047E-3</v>
      </c>
      <c r="G266" s="2">
        <v>12060602008.847782</v>
      </c>
      <c r="H266" s="3">
        <f>G266/$O$9</f>
        <v>1.1359708023780524E-4</v>
      </c>
    </row>
  </sheetData>
  <sortState xmlns:xlrd2="http://schemas.microsoft.com/office/spreadsheetml/2017/richdata2" ref="A2:H266">
    <sortCondition ref="D2:D266"/>
    <sortCondition ref="A2:A266"/>
  </sortState>
  <conditionalFormatting sqref="B1:B1048576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518A0-3863-B446-A039-336356A56374}">
  <dimension ref="A2:B6"/>
  <sheetViews>
    <sheetView workbookViewId="0">
      <selection activeCell="A2" sqref="A2"/>
    </sheetView>
  </sheetViews>
  <sheetFormatPr baseColWidth="10" defaultRowHeight="16" x14ac:dyDescent="0.2"/>
  <cols>
    <col min="1" max="1" width="43.5" customWidth="1"/>
    <col min="2" max="2" width="19.5" customWidth="1"/>
  </cols>
  <sheetData>
    <row r="2" spans="1:2" x14ac:dyDescent="0.2">
      <c r="A2" t="s">
        <v>273</v>
      </c>
      <c r="B2" s="2">
        <f>SUMIF(Masterfile!C2:C267,Masterfile!C4,Masterfile!E2:E267)</f>
        <v>6532963178</v>
      </c>
    </row>
    <row r="3" spans="1:2" x14ac:dyDescent="0.2">
      <c r="A3" t="s">
        <v>272</v>
      </c>
      <c r="B3" s="2">
        <v>8200000000</v>
      </c>
    </row>
    <row r="5" spans="1:2" x14ac:dyDescent="0.2">
      <c r="A5" t="s">
        <v>274</v>
      </c>
      <c r="B5" s="3">
        <f>B2/B3</f>
        <v>0.79670282658536584</v>
      </c>
    </row>
    <row r="6" spans="1:2" x14ac:dyDescent="0.2">
      <c r="B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Masterfile</vt:lpstr>
      <vt:lpstr>Summary 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Cuenda-Garcia,M (pgr)</dc:creator>
  <cp:lastModifiedBy>Mario Cuenda Garcia</cp:lastModifiedBy>
  <dcterms:created xsi:type="dcterms:W3CDTF">2024-09-19T08:08:49Z</dcterms:created>
  <dcterms:modified xsi:type="dcterms:W3CDTF">2025-02-03T17:13:49Z</dcterms:modified>
</cp:coreProperties>
</file>